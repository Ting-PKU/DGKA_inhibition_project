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21\"/>
    </mc:Choice>
  </mc:AlternateContent>
  <xr:revisionPtr revIDLastSave="0" documentId="8_{9B9CF995-108E-46E1-A23E-0550DA42F019}" xr6:coauthVersionLast="47" xr6:coauthVersionMax="47" xr10:uidLastSave="{00000000-0000-0000-0000-000000000000}"/>
  <bookViews>
    <workbookView xWindow="-98" yWindow="-98" windowWidth="23236" windowHeight="13875" xr2:uid="{7B2B4B65-82AB-4732-AC0E-3F905F4C27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K29" i="1"/>
  <c r="J29" i="1"/>
  <c r="I29" i="1"/>
  <c r="G29" i="1"/>
  <c r="F29" i="1"/>
  <c r="E29" i="1"/>
  <c r="D29" i="1"/>
  <c r="L28" i="1"/>
  <c r="K28" i="1"/>
  <c r="J28" i="1"/>
  <c r="I28" i="1"/>
  <c r="G28" i="1"/>
  <c r="F28" i="1"/>
  <c r="E28" i="1"/>
  <c r="D28" i="1"/>
  <c r="L22" i="1"/>
  <c r="K22" i="1"/>
  <c r="J22" i="1"/>
  <c r="I22" i="1"/>
  <c r="G22" i="1"/>
  <c r="F22" i="1"/>
  <c r="E22" i="1"/>
  <c r="D22" i="1"/>
  <c r="L21" i="1"/>
  <c r="K21" i="1"/>
  <c r="J21" i="1"/>
  <c r="I21" i="1"/>
  <c r="G21" i="1"/>
  <c r="F21" i="1"/>
  <c r="E21" i="1"/>
  <c r="D21" i="1"/>
  <c r="L15" i="1"/>
  <c r="K15" i="1"/>
  <c r="J15" i="1"/>
  <c r="I15" i="1"/>
  <c r="G15" i="1"/>
  <c r="F15" i="1"/>
  <c r="E15" i="1"/>
  <c r="D15" i="1"/>
  <c r="L14" i="1"/>
  <c r="K14" i="1"/>
  <c r="J14" i="1"/>
  <c r="I14" i="1"/>
  <c r="G14" i="1"/>
  <c r="F14" i="1"/>
  <c r="E14" i="1"/>
  <c r="D14" i="1"/>
  <c r="L8" i="1"/>
  <c r="K8" i="1"/>
  <c r="J8" i="1"/>
  <c r="I8" i="1"/>
  <c r="G8" i="1"/>
  <c r="F8" i="1"/>
  <c r="E8" i="1"/>
  <c r="D8" i="1"/>
  <c r="L7" i="1"/>
  <c r="K7" i="1"/>
  <c r="J7" i="1"/>
  <c r="I7" i="1"/>
  <c r="G7" i="1"/>
  <c r="F7" i="1"/>
  <c r="E7" i="1"/>
  <c r="D7" i="1"/>
</calcChain>
</file>

<file path=xl/sharedStrings.xml><?xml version="1.0" encoding="utf-8"?>
<sst xmlns="http://schemas.openxmlformats.org/spreadsheetml/2006/main" count="58" uniqueCount="16">
  <si>
    <t>Figure S21</t>
    <phoneticPr fontId="3" type="noConversion"/>
  </si>
  <si>
    <t>MFC</t>
  </si>
  <si>
    <t>c-Myc</t>
    <phoneticPr fontId="3" type="noConversion"/>
  </si>
  <si>
    <t>Cont</t>
  </si>
  <si>
    <t>Anti-CTLA4 antibody</t>
  </si>
  <si>
    <t>R59022 25 mg/kg</t>
    <phoneticPr fontId="3" type="noConversion"/>
  </si>
  <si>
    <t>R59022 25 mg/kg+Anti-CTLA4 antibody</t>
    <phoneticPr fontId="3" type="noConversion"/>
  </si>
  <si>
    <t>Ki67</t>
  </si>
  <si>
    <t>Mean</t>
  </si>
  <si>
    <t>SD</t>
  </si>
  <si>
    <t>HMGB12</t>
  </si>
  <si>
    <t>MMP1</t>
  </si>
  <si>
    <t>MMP2</t>
  </si>
  <si>
    <t>MMP7</t>
  </si>
  <si>
    <t>VEGFA</t>
  </si>
  <si>
    <t>VEGFC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</si>
</sst>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47D7-E721-45CF-8CC9-2E71DC5F3230}">
  <dimension ref="A2:L29"/>
  <sheetViews>
    <sheetView tabSelected="1" zoomScale="70" zoomScaleNormal="70" workbookViewId="0">
      <selection sqref="A1:L1048576"/>
    </sheetView>
  </sheetViews>
  <sheetFormatPr defaultRowHeight="17.25" x14ac:dyDescent="0.4"/>
  <cols>
    <col min="1" max="1" width="12.59765625" style="4" customWidth="1"/>
    <col min="2" max="4" width="9.06640625" style="2"/>
    <col min="5" max="5" width="19.796875" style="2" customWidth="1"/>
    <col min="6" max="6" width="9.06640625" style="2"/>
    <col min="7" max="7" width="26.53125" style="2" customWidth="1"/>
    <col min="8" max="9" width="9.06640625" style="2"/>
    <col min="10" max="10" width="20.46484375" style="2" customWidth="1"/>
    <col min="11" max="11" width="9.06640625" style="2"/>
    <col min="12" max="12" width="31" style="2" customWidth="1"/>
  </cols>
  <sheetData>
    <row r="2" spans="1:12" ht="13.9" x14ac:dyDescent="0.4">
      <c r="A2" s="1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</row>
    <row r="3" spans="1:12" x14ac:dyDescent="0.4">
      <c r="C3" s="5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5" t="s">
        <v>7</v>
      </c>
      <c r="I3" s="2" t="s">
        <v>3</v>
      </c>
      <c r="J3" s="2" t="s">
        <v>4</v>
      </c>
      <c r="K3" s="2" t="s">
        <v>5</v>
      </c>
      <c r="L3" s="2" t="s">
        <v>6</v>
      </c>
    </row>
    <row r="4" spans="1:12" x14ac:dyDescent="0.4">
      <c r="D4" s="2">
        <v>1.12669683257919</v>
      </c>
      <c r="E4" s="2">
        <v>0.77375565610859698</v>
      </c>
      <c r="F4" s="2">
        <v>0.33936651583710398</v>
      </c>
      <c r="G4" s="2">
        <v>0.12669683257918599</v>
      </c>
      <c r="I4" s="2">
        <v>1.1555234237679399</v>
      </c>
      <c r="J4" s="2">
        <v>0.58430241050907095</v>
      </c>
      <c r="K4" s="2">
        <v>0.43168610925670198</v>
      </c>
      <c r="L4" s="2">
        <v>0.12645350675196301</v>
      </c>
    </row>
    <row r="5" spans="1:12" x14ac:dyDescent="0.4">
      <c r="D5" s="2">
        <v>1</v>
      </c>
      <c r="E5" s="2">
        <v>0.64705882352941202</v>
      </c>
      <c r="F5" s="2">
        <v>0.19909502262443399</v>
      </c>
      <c r="G5" s="2">
        <v>0.14932126696832601</v>
      </c>
      <c r="I5" s="2">
        <v>0.98546525951529895</v>
      </c>
      <c r="J5" s="2">
        <v>0.85465128701326798</v>
      </c>
      <c r="K5" s="2">
        <v>0.344476794255348</v>
      </c>
      <c r="L5" s="2">
        <v>9.5930246501489305E-2</v>
      </c>
    </row>
    <row r="6" spans="1:12" x14ac:dyDescent="0.4">
      <c r="D6" s="2">
        <v>0.87330316742081404</v>
      </c>
      <c r="E6" s="2">
        <v>0.66515837104072395</v>
      </c>
      <c r="F6" s="2">
        <v>0.39366515837104099</v>
      </c>
      <c r="G6" s="2">
        <v>0.144796380090498</v>
      </c>
      <c r="I6" s="2">
        <v>0.85901175276333597</v>
      </c>
      <c r="J6" s="2">
        <v>0.76308150626184701</v>
      </c>
      <c r="K6" s="2">
        <v>0.26598841075412899</v>
      </c>
      <c r="L6" s="2">
        <v>0.11337210950175999</v>
      </c>
    </row>
    <row r="7" spans="1:12" x14ac:dyDescent="0.4">
      <c r="C7" s="6" t="s">
        <v>8</v>
      </c>
      <c r="D7" s="6">
        <f>AVERAGE(D4:D6)</f>
        <v>1.0000000000000013</v>
      </c>
      <c r="E7" s="6">
        <f t="shared" ref="E7:L7" si="0">AVERAGE(E4:E6)</f>
        <v>0.69532428355957754</v>
      </c>
      <c r="F7" s="6">
        <f t="shared" si="0"/>
        <v>0.31070889894419301</v>
      </c>
      <c r="G7" s="6">
        <f t="shared" si="0"/>
        <v>0.14027149321266999</v>
      </c>
      <c r="H7" s="6" t="s">
        <v>8</v>
      </c>
      <c r="I7" s="6">
        <f t="shared" si="0"/>
        <v>1.0000001453488583</v>
      </c>
      <c r="J7" s="6">
        <f t="shared" si="0"/>
        <v>0.73401173459472868</v>
      </c>
      <c r="K7" s="6">
        <f t="shared" si="0"/>
        <v>0.34738377142205962</v>
      </c>
      <c r="L7" s="6">
        <f t="shared" si="0"/>
        <v>0.1119186209184041</v>
      </c>
    </row>
    <row r="8" spans="1:12" x14ac:dyDescent="0.4">
      <c r="C8" s="6" t="s">
        <v>9</v>
      </c>
      <c r="D8" s="6">
        <f>STDEV(D4:D6)</f>
        <v>0.12669683257918768</v>
      </c>
      <c r="E8" s="6">
        <f t="shared" ref="E8:L8" si="1">STDEV(E4:E6)</f>
        <v>6.8523780944799412E-2</v>
      </c>
      <c r="F8" s="6">
        <f t="shared" si="1"/>
        <v>0.10040084006420917</v>
      </c>
      <c r="G8" s="6">
        <f t="shared" si="1"/>
        <v>1.1971725389432405E-2</v>
      </c>
      <c r="H8" s="6" t="s">
        <v>9</v>
      </c>
      <c r="I8" s="6">
        <f t="shared" si="1"/>
        <v>0.14878924672210533</v>
      </c>
      <c r="J8" s="6">
        <f t="shared" si="1"/>
        <v>0.13749879081415295</v>
      </c>
      <c r="K8" s="6">
        <f t="shared" si="1"/>
        <v>8.2887090125352225E-2</v>
      </c>
      <c r="L8" s="6">
        <f t="shared" si="1"/>
        <v>1.5313452447962025E-2</v>
      </c>
    </row>
    <row r="10" spans="1:12" x14ac:dyDescent="0.4">
      <c r="C10" s="5" t="s">
        <v>10</v>
      </c>
      <c r="D10" s="2" t="s">
        <v>3</v>
      </c>
      <c r="E10" s="2" t="s">
        <v>4</v>
      </c>
      <c r="F10" s="2" t="s">
        <v>5</v>
      </c>
      <c r="G10" s="2" t="s">
        <v>6</v>
      </c>
      <c r="H10" s="5" t="s">
        <v>11</v>
      </c>
      <c r="I10" s="2" t="s">
        <v>3</v>
      </c>
      <c r="J10" s="2" t="s">
        <v>4</v>
      </c>
      <c r="K10" s="2" t="s">
        <v>5</v>
      </c>
      <c r="L10" s="2" t="s">
        <v>6</v>
      </c>
    </row>
    <row r="11" spans="1:12" x14ac:dyDescent="0.4">
      <c r="D11" s="2">
        <v>1.02336448598131</v>
      </c>
      <c r="E11" s="2">
        <v>0.82554517133956395</v>
      </c>
      <c r="F11" s="2">
        <v>0.45794392523364502</v>
      </c>
      <c r="G11" s="2">
        <v>9.8130841121495296E-2</v>
      </c>
      <c r="I11" s="2">
        <v>0.853372559145536</v>
      </c>
      <c r="J11" s="2">
        <v>0.708211247538306</v>
      </c>
      <c r="K11" s="2">
        <v>0.48387103869076797</v>
      </c>
      <c r="L11" s="2">
        <v>0.11876834586046101</v>
      </c>
    </row>
    <row r="12" spans="1:12" x14ac:dyDescent="0.4">
      <c r="D12" s="2">
        <v>0.80373831775700899</v>
      </c>
      <c r="E12" s="2">
        <v>0.78504672897196304</v>
      </c>
      <c r="F12" s="2">
        <v>0.42990654205607498</v>
      </c>
      <c r="G12" s="2">
        <v>0.144859813084112</v>
      </c>
      <c r="I12" s="2">
        <v>1.09090925086646</v>
      </c>
      <c r="J12" s="2">
        <v>0.791788972403075</v>
      </c>
      <c r="K12" s="2">
        <v>0.49706752156415301</v>
      </c>
      <c r="L12" s="2">
        <v>0.20674489834969201</v>
      </c>
    </row>
    <row r="13" spans="1:12" x14ac:dyDescent="0.4">
      <c r="D13" s="2">
        <v>1.1728971962616801</v>
      </c>
      <c r="E13" s="2">
        <v>0.644859813084112</v>
      </c>
      <c r="F13" s="2">
        <v>0.210280373831776</v>
      </c>
      <c r="G13" s="2">
        <v>0.116822429906542</v>
      </c>
      <c r="I13" s="2">
        <v>1.0557186298707699</v>
      </c>
      <c r="J13" s="2">
        <v>0.65982414366922904</v>
      </c>
      <c r="K13" s="2">
        <v>0.343108554707999</v>
      </c>
      <c r="L13" s="2">
        <v>0.20234607072523</v>
      </c>
    </row>
    <row r="14" spans="1:12" x14ac:dyDescent="0.4">
      <c r="C14" s="6" t="s">
        <v>8</v>
      </c>
      <c r="D14" s="6">
        <f>AVERAGE(D11:D13)</f>
        <v>0.99999999999999967</v>
      </c>
      <c r="E14" s="6">
        <f t="shared" ref="E14:L14" si="2">AVERAGE(E11:E13)</f>
        <v>0.75181723779854626</v>
      </c>
      <c r="F14" s="6">
        <f t="shared" si="2"/>
        <v>0.36604361370716537</v>
      </c>
      <c r="G14" s="6">
        <f t="shared" si="2"/>
        <v>0.11993769470404976</v>
      </c>
      <c r="H14" s="6" t="s">
        <v>8</v>
      </c>
      <c r="I14" s="6">
        <f t="shared" si="2"/>
        <v>1.0000001466275885</v>
      </c>
      <c r="J14" s="6">
        <f t="shared" si="2"/>
        <v>0.71994145453686997</v>
      </c>
      <c r="K14" s="6">
        <f t="shared" si="2"/>
        <v>0.44134903832097333</v>
      </c>
      <c r="L14" s="6">
        <f t="shared" si="2"/>
        <v>0.17595310497846103</v>
      </c>
    </row>
    <row r="15" spans="1:12" x14ac:dyDescent="0.4">
      <c r="C15" s="6" t="s">
        <v>9</v>
      </c>
      <c r="D15" s="6">
        <f>STDEV(D11:D13)</f>
        <v>0.18568520080659301</v>
      </c>
      <c r="E15" s="6">
        <f t="shared" ref="E15:L15" si="3">STDEV(E11:E13)</f>
        <v>9.4815341504993308E-2</v>
      </c>
      <c r="F15" s="6">
        <f t="shared" si="3"/>
        <v>0.13562139907190174</v>
      </c>
      <c r="G15" s="6">
        <f t="shared" si="3"/>
        <v>2.3519733443210959E-2</v>
      </c>
      <c r="H15" s="6" t="s">
        <v>9</v>
      </c>
      <c r="I15" s="6">
        <f t="shared" si="3"/>
        <v>0.12819645864695703</v>
      </c>
      <c r="J15" s="6">
        <f t="shared" si="3"/>
        <v>6.6759848133891034E-2</v>
      </c>
      <c r="K15" s="6">
        <f t="shared" si="3"/>
        <v>8.5334232611773031E-2</v>
      </c>
      <c r="L15" s="6">
        <f t="shared" si="3"/>
        <v>4.9572269744840171E-2</v>
      </c>
    </row>
    <row r="17" spans="3:12" x14ac:dyDescent="0.4">
      <c r="C17" s="5" t="s">
        <v>12</v>
      </c>
      <c r="D17" s="2" t="s">
        <v>3</v>
      </c>
      <c r="E17" s="2" t="s">
        <v>4</v>
      </c>
      <c r="F17" s="2" t="s">
        <v>5</v>
      </c>
      <c r="G17" s="2" t="s">
        <v>6</v>
      </c>
      <c r="H17" s="5" t="s">
        <v>13</v>
      </c>
      <c r="I17" s="2" t="s">
        <v>3</v>
      </c>
      <c r="J17" s="2" t="s">
        <v>4</v>
      </c>
      <c r="K17" s="2" t="s">
        <v>5</v>
      </c>
      <c r="L17" s="2" t="s">
        <v>6</v>
      </c>
    </row>
    <row r="18" spans="3:12" x14ac:dyDescent="0.4">
      <c r="D18" s="2">
        <v>0.97154471544715404</v>
      </c>
      <c r="E18" s="2">
        <v>0.68699186991869898</v>
      </c>
      <c r="F18" s="2">
        <v>0.39024390243902402</v>
      </c>
      <c r="G18" s="2">
        <v>6.50406504065041E-2</v>
      </c>
      <c r="I18" s="2">
        <v>1.14733524336438</v>
      </c>
      <c r="J18" s="2">
        <v>0.84326005591535003</v>
      </c>
      <c r="K18" s="2">
        <v>0.448275776132324</v>
      </c>
      <c r="L18" s="2">
        <v>0.26332284273936601</v>
      </c>
    </row>
    <row r="19" spans="3:12" x14ac:dyDescent="0.4">
      <c r="D19" s="2">
        <v>1.0284552845528501</v>
      </c>
      <c r="E19" s="2">
        <v>0.57317073170731703</v>
      </c>
      <c r="F19" s="2">
        <v>0.34959349593495898</v>
      </c>
      <c r="G19" s="2">
        <v>4.4715447154471497E-2</v>
      </c>
      <c r="I19" s="2">
        <v>0.99686504751331595</v>
      </c>
      <c r="J19" s="2">
        <v>0.68965506431738999</v>
      </c>
      <c r="K19" s="2">
        <v>0.34482751648471499</v>
      </c>
      <c r="L19" s="2">
        <v>0.21159871291556201</v>
      </c>
    </row>
    <row r="20" spans="3:12" x14ac:dyDescent="0.4">
      <c r="D20" s="2">
        <v>1</v>
      </c>
      <c r="E20" s="2">
        <v>0.5</v>
      </c>
      <c r="F20" s="2">
        <v>0.215447154471545</v>
      </c>
      <c r="G20" s="2">
        <v>7.7235772357723595E-2</v>
      </c>
      <c r="I20" s="2">
        <v>0.85579923890294096</v>
      </c>
      <c r="J20" s="2">
        <v>0.60815037489805901</v>
      </c>
      <c r="K20" s="2">
        <v>0.391849452688174</v>
      </c>
      <c r="L20" s="2">
        <v>0.22570529377660001</v>
      </c>
    </row>
    <row r="21" spans="3:12" x14ac:dyDescent="0.4">
      <c r="C21" s="6" t="s">
        <v>8</v>
      </c>
      <c r="D21" s="6">
        <f>AVERAGE(D18:D20)</f>
        <v>1.0000000000000013</v>
      </c>
      <c r="E21" s="6">
        <f t="shared" ref="E21:L21" si="4">AVERAGE(E18:E20)</f>
        <v>0.586720867208672</v>
      </c>
      <c r="F21" s="6">
        <f t="shared" si="4"/>
        <v>0.31842818428184266</v>
      </c>
      <c r="G21" s="6">
        <f t="shared" si="4"/>
        <v>6.2330623306233068E-2</v>
      </c>
      <c r="H21" s="6" t="s">
        <v>8</v>
      </c>
      <c r="I21" s="6">
        <f t="shared" si="4"/>
        <v>0.9999998432602123</v>
      </c>
      <c r="J21" s="6">
        <f t="shared" si="4"/>
        <v>0.71368849837693293</v>
      </c>
      <c r="K21" s="6">
        <f t="shared" si="4"/>
        <v>0.39498424843507096</v>
      </c>
      <c r="L21" s="6">
        <f t="shared" si="4"/>
        <v>0.23354228314384265</v>
      </c>
    </row>
    <row r="22" spans="3:12" x14ac:dyDescent="0.4">
      <c r="C22" s="6" t="s">
        <v>9</v>
      </c>
      <c r="D22" s="6">
        <f>STDEV(D18:D20)</f>
        <v>2.8455284552848015E-2</v>
      </c>
      <c r="E22" s="6">
        <f t="shared" ref="E22:L22" si="5">STDEV(E18:E20)</f>
        <v>9.4229477781646351E-2</v>
      </c>
      <c r="F22" s="6">
        <f t="shared" si="5"/>
        <v>9.1470942177439618E-2</v>
      </c>
      <c r="G22" s="6">
        <f t="shared" si="5"/>
        <v>1.6428666196452803E-2</v>
      </c>
      <c r="H22" s="6" t="s">
        <v>9</v>
      </c>
      <c r="I22" s="6">
        <f t="shared" si="5"/>
        <v>0.14579328064974839</v>
      </c>
      <c r="J22" s="6">
        <f t="shared" si="5"/>
        <v>0.11938318554777276</v>
      </c>
      <c r="K22" s="6">
        <f t="shared" si="5"/>
        <v>5.1795326182107179E-2</v>
      </c>
      <c r="L22" s="6">
        <f t="shared" si="5"/>
        <v>2.6737804757760851E-2</v>
      </c>
    </row>
    <row r="24" spans="3:12" x14ac:dyDescent="0.4">
      <c r="C24" s="5" t="s">
        <v>14</v>
      </c>
      <c r="D24" s="2" t="s">
        <v>3</v>
      </c>
      <c r="E24" s="2" t="s">
        <v>4</v>
      </c>
      <c r="F24" s="2" t="s">
        <v>5</v>
      </c>
      <c r="G24" s="2" t="s">
        <v>6</v>
      </c>
      <c r="H24" s="5" t="s">
        <v>15</v>
      </c>
      <c r="I24" s="2" t="s">
        <v>3</v>
      </c>
      <c r="J24" s="2" t="s">
        <v>4</v>
      </c>
      <c r="K24" s="2" t="s">
        <v>5</v>
      </c>
      <c r="L24" s="2" t="s">
        <v>6</v>
      </c>
    </row>
    <row r="25" spans="3:12" x14ac:dyDescent="0.4">
      <c r="D25" s="2">
        <v>1.0700133513888199</v>
      </c>
      <c r="E25" s="2">
        <v>0.91149285488677101</v>
      </c>
      <c r="F25" s="2">
        <v>0.42800534055552703</v>
      </c>
      <c r="G25" s="2">
        <v>0.20211363304011001</v>
      </c>
      <c r="I25" s="2">
        <v>1.1394027225323899</v>
      </c>
      <c r="J25" s="2">
        <v>0.75960181502159496</v>
      </c>
      <c r="K25" s="2">
        <v>0.311522092677396</v>
      </c>
      <c r="L25" s="2">
        <v>0.17496446301059199</v>
      </c>
    </row>
    <row r="26" spans="3:12" x14ac:dyDescent="0.4">
      <c r="D26" s="2">
        <v>0.91941887971187297</v>
      </c>
      <c r="E26" s="2">
        <v>0.718626250809279</v>
      </c>
      <c r="F26" s="2">
        <v>0.455746427443385</v>
      </c>
      <c r="G26" s="2">
        <v>0.22589170751541701</v>
      </c>
      <c r="I26" s="2">
        <v>0.96870568544888802</v>
      </c>
      <c r="J26" s="2">
        <v>0.623044185354792</v>
      </c>
      <c r="K26" s="2">
        <v>0.44381229641711201</v>
      </c>
      <c r="L26" s="2">
        <v>0.209103870427293</v>
      </c>
    </row>
    <row r="27" spans="3:12" x14ac:dyDescent="0.4">
      <c r="D27" s="2">
        <v>1.01056816520055</v>
      </c>
      <c r="E27" s="2">
        <v>0.65257604393342805</v>
      </c>
      <c r="F27" s="2">
        <v>0.36856015436725897</v>
      </c>
      <c r="G27" s="2">
        <v>0.14266844685184199</v>
      </c>
      <c r="I27" s="2">
        <v>0.89189201876131097</v>
      </c>
      <c r="J27" s="2">
        <v>0.67852072240693095</v>
      </c>
      <c r="K27" s="2">
        <v>0.54196309274012699</v>
      </c>
      <c r="L27" s="2">
        <v>0.170697037083505</v>
      </c>
    </row>
    <row r="28" spans="3:12" x14ac:dyDescent="0.4">
      <c r="C28" s="6" t="s">
        <v>8</v>
      </c>
      <c r="D28" s="6">
        <f>AVERAGE(D25:D27)</f>
        <v>1.0000001321004144</v>
      </c>
      <c r="E28" s="6">
        <f t="shared" ref="E28:L28" si="6">AVERAGE(E25:E27)</f>
        <v>0.76089838320982606</v>
      </c>
      <c r="F28" s="6">
        <f t="shared" si="6"/>
        <v>0.41743730745539032</v>
      </c>
      <c r="G28" s="6">
        <f t="shared" si="6"/>
        <v>0.19022459580245635</v>
      </c>
      <c r="H28" s="6" t="s">
        <v>8</v>
      </c>
      <c r="I28" s="6">
        <f t="shared" si="6"/>
        <v>1.0000001422475295</v>
      </c>
      <c r="J28" s="6">
        <f t="shared" si="6"/>
        <v>0.68705557426110586</v>
      </c>
      <c r="K28" s="6">
        <f t="shared" si="6"/>
        <v>0.43243249394487832</v>
      </c>
      <c r="L28" s="6">
        <f t="shared" si="6"/>
        <v>0.18492179017379665</v>
      </c>
    </row>
    <row r="29" spans="3:12" x14ac:dyDescent="0.4">
      <c r="C29" s="6" t="s">
        <v>9</v>
      </c>
      <c r="D29" s="6">
        <f>STDEV(D25:D27)</f>
        <v>7.5851408804443882E-2</v>
      </c>
      <c r="E29" s="6">
        <f t="shared" ref="E29:L29" si="7">STDEV(E25:E27)</f>
        <v>0.13453504611003508</v>
      </c>
      <c r="F29" s="6">
        <f t="shared" si="7"/>
        <v>4.4543507337550255E-2</v>
      </c>
      <c r="G29" s="6">
        <f t="shared" si="7"/>
        <v>4.2866533376260584E-2</v>
      </c>
      <c r="H29" s="6" t="s">
        <v>9</v>
      </c>
      <c r="I29" s="6">
        <f t="shared" si="7"/>
        <v>0.1266881777833091</v>
      </c>
      <c r="J29" s="6">
        <f t="shared" si="7"/>
        <v>6.867772074831445E-2</v>
      </c>
      <c r="K29" s="6">
        <f t="shared" si="7"/>
        <v>0.11564120613219246</v>
      </c>
      <c r="L29" s="6">
        <f t="shared" si="7"/>
        <v>2.1050712221934362E-2</v>
      </c>
    </row>
  </sheetData>
  <mergeCells count="1">
    <mergeCell ref="C2:L2"/>
  </mergeCells>
  <phoneticPr fontId="2" type="noConversion"/>
  <conditionalFormatting sqref="C30:L3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2026-02-10T11:31:46Z</dcterms:created>
  <dcterms:modified xsi:type="dcterms:W3CDTF">2026-02-10T11:32:06Z</dcterms:modified>
</cp:coreProperties>
</file>