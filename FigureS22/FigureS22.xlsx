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博后工作\DGKA\IMeta\Correspo\20260204 proof\V2\Source data\FigureS22\"/>
    </mc:Choice>
  </mc:AlternateContent>
  <xr:revisionPtr revIDLastSave="0" documentId="13_ncr:1_{CC99CC76-C11A-4B48-A89D-026637EF3750}" xr6:coauthVersionLast="47" xr6:coauthVersionMax="47" xr10:uidLastSave="{00000000-0000-0000-0000-000000000000}"/>
  <bookViews>
    <workbookView xWindow="-98" yWindow="-98" windowWidth="23236" windowHeight="13875" xr2:uid="{91081194-A356-4721-93B0-BF8A6962C3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83" i="1" l="1"/>
  <c r="O83" i="1"/>
  <c r="N83" i="1"/>
  <c r="M83" i="1"/>
  <c r="K83" i="1"/>
  <c r="J83" i="1"/>
  <c r="I83" i="1"/>
  <c r="H83" i="1"/>
  <c r="F83" i="1"/>
  <c r="E83" i="1"/>
  <c r="D83" i="1"/>
  <c r="C83" i="1"/>
  <c r="P82" i="1"/>
  <c r="O82" i="1"/>
  <c r="N82" i="1"/>
  <c r="M82" i="1"/>
  <c r="K82" i="1"/>
  <c r="J82" i="1"/>
  <c r="I82" i="1"/>
  <c r="H82" i="1"/>
  <c r="F82" i="1"/>
  <c r="E82" i="1"/>
  <c r="D82" i="1"/>
  <c r="C82" i="1"/>
  <c r="P70" i="1"/>
  <c r="O70" i="1"/>
  <c r="N70" i="1"/>
  <c r="M70" i="1"/>
  <c r="K70" i="1"/>
  <c r="J70" i="1"/>
  <c r="I70" i="1"/>
  <c r="H70" i="1"/>
  <c r="F70" i="1"/>
  <c r="E70" i="1"/>
  <c r="D70" i="1"/>
  <c r="C70" i="1"/>
  <c r="P69" i="1"/>
  <c r="O69" i="1"/>
  <c r="N69" i="1"/>
  <c r="M69" i="1"/>
  <c r="K69" i="1"/>
  <c r="J69" i="1"/>
  <c r="I69" i="1"/>
  <c r="H69" i="1"/>
  <c r="F69" i="1"/>
  <c r="E69" i="1"/>
  <c r="D69" i="1"/>
  <c r="C69" i="1"/>
  <c r="H33" i="1"/>
  <c r="G33" i="1"/>
  <c r="F33" i="1"/>
  <c r="E33" i="1"/>
  <c r="N32" i="1"/>
  <c r="T32" i="1" s="1"/>
  <c r="T33" i="1" s="1"/>
  <c r="H32" i="1"/>
  <c r="G32" i="1"/>
  <c r="F32" i="1"/>
  <c r="E32" i="1"/>
  <c r="N31" i="1"/>
  <c r="M31" i="1"/>
  <c r="L31" i="1"/>
  <c r="K31" i="1"/>
  <c r="N30" i="1"/>
  <c r="M30" i="1"/>
  <c r="L30" i="1"/>
  <c r="K30" i="1"/>
  <c r="N29" i="1"/>
  <c r="M29" i="1"/>
  <c r="M32" i="1" s="1"/>
  <c r="S32" i="1" s="1"/>
  <c r="L29" i="1"/>
  <c r="L32" i="1" s="1"/>
  <c r="R32" i="1" s="1"/>
  <c r="R33" i="1" s="1"/>
  <c r="K29" i="1"/>
  <c r="N28" i="1"/>
  <c r="M28" i="1"/>
  <c r="L28" i="1"/>
  <c r="K28" i="1"/>
  <c r="N27" i="1"/>
  <c r="N33" i="1" s="1"/>
  <c r="M27" i="1"/>
  <c r="M33" i="1" s="1"/>
  <c r="L27" i="1"/>
  <c r="L33" i="1" s="1"/>
  <c r="K27" i="1"/>
  <c r="K32" i="1" s="1"/>
  <c r="Q32" i="1" s="1"/>
  <c r="M16" i="1"/>
  <c r="K16" i="1"/>
  <c r="H16" i="1"/>
  <c r="G16" i="1"/>
  <c r="F16" i="1"/>
  <c r="E16" i="1"/>
  <c r="H15" i="1"/>
  <c r="G15" i="1"/>
  <c r="F15" i="1"/>
  <c r="E15" i="1"/>
  <c r="N14" i="1"/>
  <c r="M14" i="1"/>
  <c r="L14" i="1"/>
  <c r="K14" i="1"/>
  <c r="N13" i="1"/>
  <c r="M13" i="1"/>
  <c r="L13" i="1"/>
  <c r="K13" i="1"/>
  <c r="N12" i="1"/>
  <c r="M12" i="1"/>
  <c r="L12" i="1"/>
  <c r="K12" i="1"/>
  <c r="N11" i="1"/>
  <c r="M11" i="1"/>
  <c r="L11" i="1"/>
  <c r="L15" i="1" s="1"/>
  <c r="R15" i="1" s="1"/>
  <c r="K11" i="1"/>
  <c r="K15" i="1" s="1"/>
  <c r="Q15" i="1" s="1"/>
  <c r="N10" i="1"/>
  <c r="N16" i="1" s="1"/>
  <c r="M10" i="1"/>
  <c r="M15" i="1" s="1"/>
  <c r="S15" i="1" s="1"/>
  <c r="L10" i="1"/>
  <c r="K10" i="1"/>
  <c r="R16" i="1" l="1"/>
  <c r="L16" i="1"/>
  <c r="N15" i="1"/>
  <c r="T15" i="1" s="1"/>
  <c r="T16" i="1" s="1"/>
  <c r="K33" i="1"/>
</calcChain>
</file>

<file path=xl/sharedStrings.xml><?xml version="1.0" encoding="utf-8"?>
<sst xmlns="http://schemas.openxmlformats.org/spreadsheetml/2006/main" count="119" uniqueCount="25">
  <si>
    <t>Figure S22A</t>
    <phoneticPr fontId="3" type="noConversion"/>
  </si>
  <si>
    <t>MC38</t>
    <phoneticPr fontId="3" type="noConversion"/>
  </si>
  <si>
    <t>Cont</t>
    <phoneticPr fontId="3" type="noConversion"/>
  </si>
  <si>
    <t>anti-CTLA-4</t>
    <phoneticPr fontId="3" type="noConversion"/>
  </si>
  <si>
    <t>R59022 12.5 mg/kg</t>
    <phoneticPr fontId="3" type="noConversion"/>
  </si>
  <si>
    <t>R59022 12.5 mg/kg+Anti-CTLA4 antibody</t>
    <phoneticPr fontId="3" type="noConversion"/>
  </si>
  <si>
    <t>start</t>
    <phoneticPr fontId="3" type="noConversion"/>
  </si>
  <si>
    <t>anti-CTLA-4</t>
  </si>
  <si>
    <t>R59022 12.5 mg/kg</t>
  </si>
  <si>
    <t>R59022 12.5 mg/kg+Anti-CTLA4 antibody</t>
  </si>
  <si>
    <t>Mean</t>
    <phoneticPr fontId="3" type="noConversion"/>
  </si>
  <si>
    <t>SD</t>
    <phoneticPr fontId="3" type="noConversion"/>
  </si>
  <si>
    <t>Figure S22B</t>
    <phoneticPr fontId="3" type="noConversion"/>
  </si>
  <si>
    <t>MFC</t>
    <phoneticPr fontId="3" type="noConversion"/>
  </si>
  <si>
    <t>Figure S22C</t>
    <phoneticPr fontId="3" type="noConversion"/>
  </si>
  <si>
    <t>Figure S22D</t>
    <phoneticPr fontId="3" type="noConversion"/>
  </si>
  <si>
    <t>Cont</t>
  </si>
  <si>
    <t>Start</t>
  </si>
  <si>
    <t>R59022 12.5 mg/kg+anti-CTLA-4</t>
    <phoneticPr fontId="3" type="noConversion"/>
  </si>
  <si>
    <t>Figure S22E</t>
    <phoneticPr fontId="3" type="noConversion"/>
  </si>
  <si>
    <t>foxp3</t>
    <phoneticPr fontId="3" type="noConversion"/>
  </si>
  <si>
    <t>ki67</t>
    <phoneticPr fontId="3" type="noConversion"/>
  </si>
  <si>
    <t>CTLA4</t>
    <phoneticPr fontId="3" type="noConversion"/>
  </si>
  <si>
    <t>inhibitory rate</t>
    <phoneticPr fontId="3" type="noConversion"/>
  </si>
  <si>
    <t>Q value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</si>
</sst>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/>
    <xf numFmtId="0" fontId="4" fillId="3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/>
    <xf numFmtId="0" fontId="7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870CA-1D98-482A-9408-C80022643692}">
  <dimension ref="A2:W83"/>
  <sheetViews>
    <sheetView tabSelected="1" zoomScale="70" zoomScaleNormal="70" workbookViewId="0">
      <selection activeCell="AA14" sqref="AA14"/>
    </sheetView>
  </sheetViews>
  <sheetFormatPr defaultRowHeight="13.9" x14ac:dyDescent="0.4"/>
  <cols>
    <col min="1" max="1" width="12.33203125" style="1" customWidth="1"/>
    <col min="2" max="5" width="9.06640625" style="2"/>
    <col min="6" max="6" width="13.33203125" style="2" customWidth="1"/>
    <col min="7" max="7" width="10.265625" style="2" customWidth="1"/>
    <col min="8" max="8" width="12.59765625" style="2" customWidth="1"/>
    <col min="9" max="9" width="9.06640625" style="2"/>
    <col min="10" max="10" width="11.796875" style="2" customWidth="1"/>
    <col min="11" max="16" width="9.06640625" style="2"/>
    <col min="17" max="17" width="12.73046875" style="2" bestFit="1" customWidth="1"/>
    <col min="18" max="22" width="9.06640625" style="2"/>
  </cols>
  <sheetData>
    <row r="2" spans="1:23" x14ac:dyDescent="0.4">
      <c r="A2" s="1" t="s">
        <v>0</v>
      </c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3" x14ac:dyDescent="0.4">
      <c r="C3" s="4" t="s">
        <v>2</v>
      </c>
      <c r="D3" s="4"/>
      <c r="E3" s="4"/>
      <c r="F3" s="4"/>
      <c r="G3" s="4"/>
      <c r="H3" s="4" t="s">
        <v>3</v>
      </c>
      <c r="I3" s="4"/>
      <c r="J3" s="4"/>
      <c r="K3" s="4"/>
      <c r="L3" s="4"/>
      <c r="M3" s="4" t="s">
        <v>4</v>
      </c>
      <c r="N3" s="4"/>
      <c r="O3" s="4"/>
      <c r="P3" s="4"/>
      <c r="Q3" s="4"/>
      <c r="R3" s="4" t="s">
        <v>5</v>
      </c>
      <c r="S3" s="4"/>
      <c r="T3" s="4"/>
      <c r="U3" s="4"/>
      <c r="V3" s="4"/>
    </row>
    <row r="4" spans="1:23" x14ac:dyDescent="0.4">
      <c r="B4" s="2" t="s">
        <v>6</v>
      </c>
      <c r="C4" s="5">
        <v>129.6396</v>
      </c>
      <c r="D4" s="5">
        <v>94.011840000000007</v>
      </c>
      <c r="E4" s="5">
        <v>70.686719999999994</v>
      </c>
      <c r="F4" s="5">
        <v>118.2636</v>
      </c>
      <c r="G4" s="5">
        <v>55.036799999999999</v>
      </c>
      <c r="H4" s="5">
        <v>153.79</v>
      </c>
      <c r="I4" s="5">
        <v>131.5746</v>
      </c>
      <c r="J4" s="5">
        <v>86.430239999999998</v>
      </c>
      <c r="K4" s="5">
        <v>107.6275</v>
      </c>
      <c r="L4" s="5">
        <v>64.233000000000004</v>
      </c>
      <c r="M4" s="5">
        <v>104.04989999999999</v>
      </c>
      <c r="N4" s="5">
        <v>83.2</v>
      </c>
      <c r="O4" s="5">
        <v>92.951040000000006</v>
      </c>
      <c r="P4" s="5">
        <v>99.326239999999999</v>
      </c>
      <c r="Q4" s="5">
        <v>136.65600000000001</v>
      </c>
      <c r="R4" s="5">
        <v>92.3</v>
      </c>
      <c r="S4" s="5">
        <v>91.395200000000003</v>
      </c>
      <c r="T4" s="5">
        <v>66.171559999999999</v>
      </c>
      <c r="U4" s="5">
        <v>42.000920000000001</v>
      </c>
      <c r="V4" s="5">
        <v>156.39680000000001</v>
      </c>
    </row>
    <row r="5" spans="1:23" x14ac:dyDescent="0.4">
      <c r="B5" s="2">
        <v>1</v>
      </c>
      <c r="C5" s="5">
        <v>225.43350000000001</v>
      </c>
      <c r="D5" s="5">
        <v>379.45699999999999</v>
      </c>
      <c r="E5" s="5">
        <v>533.30211999999995</v>
      </c>
      <c r="F5" s="5">
        <v>428.36770000000001</v>
      </c>
      <c r="G5" s="5">
        <v>469.6474</v>
      </c>
      <c r="H5" s="5">
        <v>249.7295</v>
      </c>
      <c r="I5" s="5">
        <v>464.60700000000003</v>
      </c>
      <c r="J5" s="5">
        <v>546.36559999999997</v>
      </c>
      <c r="K5" s="5">
        <v>304.19380000000001</v>
      </c>
      <c r="L5" s="5">
        <v>279.09750000000003</v>
      </c>
      <c r="M5" s="5">
        <v>135.34979999999999</v>
      </c>
      <c r="N5" s="5">
        <v>291.05860000000001</v>
      </c>
      <c r="O5" s="5">
        <v>416.01089999999999</v>
      </c>
      <c r="P5" s="5">
        <v>224.0909</v>
      </c>
      <c r="Q5" s="5">
        <v>489.26799999999997</v>
      </c>
      <c r="R5" s="5">
        <v>231.82849999999999</v>
      </c>
      <c r="S5" s="5">
        <v>191.411</v>
      </c>
      <c r="T5" s="5">
        <v>216.4032</v>
      </c>
      <c r="U5" s="5">
        <v>88.644919999999999</v>
      </c>
      <c r="V5" s="5">
        <v>204.46299999999999</v>
      </c>
    </row>
    <row r="6" spans="1:23" x14ac:dyDescent="0.4">
      <c r="B6" s="2">
        <v>2</v>
      </c>
      <c r="C6" s="5">
        <v>1038.4549999999999</v>
      </c>
      <c r="D6" s="5">
        <v>1081.0909999999999</v>
      </c>
      <c r="E6" s="5">
        <v>1240.39708</v>
      </c>
      <c r="F6" s="5">
        <v>889.78499999999997</v>
      </c>
      <c r="G6" s="5">
        <v>744.18499999999995</v>
      </c>
      <c r="H6" s="5">
        <v>967.46</v>
      </c>
      <c r="I6" s="5">
        <v>692.49019999999996</v>
      </c>
      <c r="J6" s="5">
        <v>673.24609999999996</v>
      </c>
      <c r="K6" s="5">
        <v>536.95619999999997</v>
      </c>
      <c r="L6" s="5">
        <v>411.51339999999999</v>
      </c>
      <c r="M6" s="5">
        <v>629.20000000000005</v>
      </c>
      <c r="N6" s="5">
        <v>697.50720000000001</v>
      </c>
      <c r="O6" s="5">
        <v>810.06539999999995</v>
      </c>
      <c r="P6" s="5">
        <v>647.82899999999995</v>
      </c>
      <c r="Q6" s="5">
        <v>531.94749999999999</v>
      </c>
      <c r="R6" s="5">
        <v>385.71620000000001</v>
      </c>
      <c r="S6" s="5">
        <v>258.30270000000002</v>
      </c>
      <c r="T6" s="5">
        <v>189.89359999999999</v>
      </c>
      <c r="U6" s="5">
        <v>368.18599999999998</v>
      </c>
      <c r="V6" s="5">
        <v>226.02109999999999</v>
      </c>
    </row>
    <row r="8" spans="1:23" x14ac:dyDescent="0.4">
      <c r="E8" s="3" t="s">
        <v>1</v>
      </c>
      <c r="F8" s="3"/>
      <c r="G8" s="3"/>
      <c r="H8" s="3"/>
      <c r="K8" s="3" t="s">
        <v>1</v>
      </c>
      <c r="L8" s="3"/>
      <c r="M8" s="3"/>
      <c r="N8" s="3"/>
    </row>
    <row r="9" spans="1:23" x14ac:dyDescent="0.4">
      <c r="E9" s="2" t="s">
        <v>2</v>
      </c>
      <c r="F9" s="2" t="s">
        <v>7</v>
      </c>
      <c r="G9" s="2" t="s">
        <v>8</v>
      </c>
      <c r="H9" s="2" t="s">
        <v>9</v>
      </c>
      <c r="K9" s="2" t="s">
        <v>2</v>
      </c>
      <c r="L9" s="2" t="s">
        <v>7</v>
      </c>
      <c r="M9" s="2" t="s">
        <v>8</v>
      </c>
      <c r="N9" s="2" t="s">
        <v>9</v>
      </c>
    </row>
    <row r="10" spans="1:23" x14ac:dyDescent="0.4">
      <c r="E10" s="5">
        <v>1038.4549999999999</v>
      </c>
      <c r="F10" s="5">
        <v>967.46</v>
      </c>
      <c r="G10" s="5">
        <v>629.20000000000005</v>
      </c>
      <c r="H10" s="5">
        <v>385.71620000000001</v>
      </c>
      <c r="K10" s="2">
        <f>E10/998.78262</f>
        <v>1.0397207352286526</v>
      </c>
      <c r="L10" s="2">
        <f t="shared" ref="L10:N14" si="0">F10/998.78262</f>
        <v>0.96863920199172071</v>
      </c>
      <c r="M10" s="2">
        <f t="shared" si="0"/>
        <v>0.62996690911581954</v>
      </c>
      <c r="N10" s="2">
        <f t="shared" si="0"/>
        <v>0.38618633552113674</v>
      </c>
    </row>
    <row r="11" spans="1:23" x14ac:dyDescent="0.4">
      <c r="E11" s="5">
        <v>1081.0909999999999</v>
      </c>
      <c r="F11" s="5">
        <v>692.49019999999996</v>
      </c>
      <c r="G11" s="5">
        <v>697.50720000000001</v>
      </c>
      <c r="H11" s="5">
        <v>258.30270000000002</v>
      </c>
      <c r="K11" s="2">
        <f t="shared" ref="K11:K14" si="1">E11/998.78262</f>
        <v>1.0824087027065008</v>
      </c>
      <c r="L11" s="2">
        <f t="shared" si="0"/>
        <v>0.69333425125078763</v>
      </c>
      <c r="M11" s="2">
        <f t="shared" si="0"/>
        <v>0.69835736629057488</v>
      </c>
      <c r="N11" s="2">
        <f t="shared" si="0"/>
        <v>0.25861753581575142</v>
      </c>
      <c r="W11" s="2"/>
    </row>
    <row r="12" spans="1:23" x14ac:dyDescent="0.4">
      <c r="E12" s="5">
        <v>1240.39708</v>
      </c>
      <c r="F12" s="5">
        <v>673.24609999999996</v>
      </c>
      <c r="G12" s="5">
        <v>810.06539999999995</v>
      </c>
      <c r="H12" s="5">
        <v>189.89359999999999</v>
      </c>
      <c r="K12" s="2">
        <f t="shared" si="1"/>
        <v>1.2419089551237885</v>
      </c>
      <c r="L12" s="2">
        <f t="shared" si="0"/>
        <v>0.6740666953135408</v>
      </c>
      <c r="M12" s="2">
        <f t="shared" si="0"/>
        <v>0.81105275940824839</v>
      </c>
      <c r="N12" s="2">
        <f t="shared" si="0"/>
        <v>0.19012505443877267</v>
      </c>
      <c r="W12" s="2"/>
    </row>
    <row r="13" spans="1:23" x14ac:dyDescent="0.4">
      <c r="E13" s="5">
        <v>889.78499999999997</v>
      </c>
      <c r="F13" s="5">
        <v>536.95619999999997</v>
      </c>
      <c r="G13" s="5">
        <v>647.82899999999995</v>
      </c>
      <c r="H13" s="5">
        <v>368.18599999999998</v>
      </c>
      <c r="K13" s="2">
        <f t="shared" si="1"/>
        <v>0.89086952674446818</v>
      </c>
      <c r="L13" s="2">
        <f t="shared" si="0"/>
        <v>0.53761067648533967</v>
      </c>
      <c r="M13" s="2">
        <f t="shared" si="0"/>
        <v>0.64861861532993037</v>
      </c>
      <c r="N13" s="2">
        <f t="shared" si="0"/>
        <v>0.36863476859459166</v>
      </c>
      <c r="W13" s="2"/>
    </row>
    <row r="14" spans="1:23" x14ac:dyDescent="0.4">
      <c r="E14" s="5">
        <v>744.18499999999995</v>
      </c>
      <c r="F14" s="5">
        <v>411.51339999999999</v>
      </c>
      <c r="G14" s="5">
        <v>531.94749999999999</v>
      </c>
      <c r="H14" s="5">
        <v>226.02109999999999</v>
      </c>
      <c r="K14" s="2">
        <f t="shared" si="1"/>
        <v>0.74509206017221241</v>
      </c>
      <c r="L14" s="2">
        <f t="shared" si="0"/>
        <v>0.4120149787948853</v>
      </c>
      <c r="M14" s="2">
        <f t="shared" si="0"/>
        <v>0.53259587156212229</v>
      </c>
      <c r="N14" s="2">
        <f t="shared" si="0"/>
        <v>0.22629658894144553</v>
      </c>
      <c r="Q14" s="2" t="s">
        <v>2</v>
      </c>
      <c r="R14" s="2" t="s">
        <v>7</v>
      </c>
      <c r="S14" s="2" t="s">
        <v>8</v>
      </c>
      <c r="T14" s="2" t="s">
        <v>9</v>
      </c>
      <c r="W14" s="10"/>
    </row>
    <row r="15" spans="1:23" x14ac:dyDescent="0.35">
      <c r="D15" s="6" t="s">
        <v>10</v>
      </c>
      <c r="E15" s="6">
        <f>AVERAGE(E10:E14)</f>
        <v>998.78261600000008</v>
      </c>
      <c r="F15" s="6">
        <f t="shared" ref="F15:N15" si="2">AVERAGE(F10:F14)</f>
        <v>656.33317999999997</v>
      </c>
      <c r="G15" s="6">
        <f t="shared" si="2"/>
        <v>663.30982000000006</v>
      </c>
      <c r="H15" s="6">
        <f t="shared" si="2"/>
        <v>285.62392</v>
      </c>
      <c r="J15" s="6" t="s">
        <v>10</v>
      </c>
      <c r="K15" s="6">
        <f t="shared" si="2"/>
        <v>0.99999999599512446</v>
      </c>
      <c r="L15" s="6">
        <f t="shared" si="2"/>
        <v>0.65713316076725481</v>
      </c>
      <c r="M15" s="6">
        <f t="shared" si="2"/>
        <v>0.66411830434133912</v>
      </c>
      <c r="N15" s="6">
        <f t="shared" si="2"/>
        <v>0.2859720566623396</v>
      </c>
      <c r="P15" s="2" t="s">
        <v>23</v>
      </c>
      <c r="Q15" s="2">
        <f>1-K15</f>
        <v>4.004875542307218E-9</v>
      </c>
      <c r="R15" s="2">
        <f t="shared" ref="R15:T15" si="3">1-L15</f>
        <v>0.34286683923274519</v>
      </c>
      <c r="S15" s="2">
        <f t="shared" si="3"/>
        <v>0.33588169565866088</v>
      </c>
      <c r="T15" s="2">
        <f t="shared" si="3"/>
        <v>0.7140279433376604</v>
      </c>
      <c r="W15" s="10"/>
    </row>
    <row r="16" spans="1:23" x14ac:dyDescent="0.4">
      <c r="D16" s="6" t="s">
        <v>11</v>
      </c>
      <c r="E16" s="6">
        <f>STDEV(E10:E14)</f>
        <v>189.35848522676983</v>
      </c>
      <c r="F16" s="6">
        <f t="shared" ref="F16:N16" si="4">STDEV(F10:F14)</f>
        <v>207.71426474527939</v>
      </c>
      <c r="G16" s="6">
        <f t="shared" si="4"/>
        <v>101.69298867681026</v>
      </c>
      <c r="H16" s="6">
        <f t="shared" si="4"/>
        <v>87.031892072774141</v>
      </c>
      <c r="J16" s="6" t="s">
        <v>11</v>
      </c>
      <c r="K16" s="6">
        <f t="shared" si="4"/>
        <v>0.18958928743350748</v>
      </c>
      <c r="L16" s="6">
        <f t="shared" si="4"/>
        <v>0.20796744014756655</v>
      </c>
      <c r="M16" s="6">
        <f t="shared" si="4"/>
        <v>0.10181693858150145</v>
      </c>
      <c r="N16" s="6">
        <f t="shared" si="4"/>
        <v>8.7137972097245886E-2</v>
      </c>
      <c r="R16" s="2">
        <f>R15*S15</f>
        <v>0.11516269534661992</v>
      </c>
      <c r="S16" s="2" t="s">
        <v>24</v>
      </c>
      <c r="T16" s="11">
        <f>T15/(R15+S15-R16)</f>
        <v>1.2669373380892393</v>
      </c>
    </row>
    <row r="19" spans="1:22" x14ac:dyDescent="0.4">
      <c r="A19" s="1" t="s">
        <v>12</v>
      </c>
      <c r="C19" s="3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4">
      <c r="C20" s="4" t="s">
        <v>2</v>
      </c>
      <c r="D20" s="4"/>
      <c r="E20" s="4"/>
      <c r="F20" s="4"/>
      <c r="G20" s="4"/>
      <c r="H20" s="4" t="s">
        <v>3</v>
      </c>
      <c r="I20" s="4"/>
      <c r="J20" s="4"/>
      <c r="K20" s="4"/>
      <c r="L20" s="4"/>
      <c r="M20" s="4" t="s">
        <v>4</v>
      </c>
      <c r="N20" s="4"/>
      <c r="O20" s="4"/>
      <c r="P20" s="4"/>
      <c r="Q20" s="4"/>
      <c r="R20" s="4" t="s">
        <v>5</v>
      </c>
      <c r="S20" s="4"/>
      <c r="T20" s="4"/>
      <c r="U20" s="4"/>
      <c r="V20" s="4"/>
    </row>
    <row r="21" spans="1:22" x14ac:dyDescent="0.4">
      <c r="B21" s="2" t="s">
        <v>6</v>
      </c>
      <c r="C21" s="5">
        <v>101.23779999999999</v>
      </c>
      <c r="D21" s="5">
        <v>76.677120000000002</v>
      </c>
      <c r="E21" s="5">
        <v>98.733959999999996</v>
      </c>
      <c r="F21" s="5">
        <v>106.964</v>
      </c>
      <c r="G21" s="5">
        <v>108.0903</v>
      </c>
      <c r="H21" s="5">
        <v>151.91489999999999</v>
      </c>
      <c r="I21" s="5">
        <v>115.8477</v>
      </c>
      <c r="J21" s="5">
        <v>160.98259999999999</v>
      </c>
      <c r="K21" s="5">
        <v>53.202240000000003</v>
      </c>
      <c r="L21" s="5">
        <v>62.300159999999998</v>
      </c>
      <c r="M21" s="5">
        <v>88.657920000000004</v>
      </c>
      <c r="N21" s="5">
        <v>62.496200000000002</v>
      </c>
      <c r="O21" s="5">
        <v>92.807000000000002</v>
      </c>
      <c r="P21" s="5">
        <v>105.4966</v>
      </c>
      <c r="Q21" s="5">
        <v>156.85489999999999</v>
      </c>
      <c r="R21" s="5">
        <v>75.479039999999998</v>
      </c>
      <c r="S21" s="5">
        <v>105.169</v>
      </c>
      <c r="T21" s="5">
        <v>116.402</v>
      </c>
      <c r="U21" s="5">
        <v>80.599999999999994</v>
      </c>
      <c r="V21" s="5">
        <v>90.979200000000006</v>
      </c>
    </row>
    <row r="22" spans="1:22" x14ac:dyDescent="0.4">
      <c r="B22" s="2">
        <v>1</v>
      </c>
      <c r="C22" s="5">
        <v>434.589</v>
      </c>
      <c r="D22" s="5">
        <v>398.59870000000001</v>
      </c>
      <c r="E22" s="5">
        <v>499.22030000000001</v>
      </c>
      <c r="F22" s="5">
        <v>578.19269999999995</v>
      </c>
      <c r="G22" s="5">
        <v>484.37529999999998</v>
      </c>
      <c r="H22" s="5">
        <v>205.48480000000001</v>
      </c>
      <c r="I22" s="5">
        <v>180.33600000000001</v>
      </c>
      <c r="J22" s="5">
        <v>559.33699999999999</v>
      </c>
      <c r="K22" s="5">
        <v>362.101</v>
      </c>
      <c r="L22" s="5">
        <v>303.7133</v>
      </c>
      <c r="M22" s="5">
        <v>288.19229999999999</v>
      </c>
      <c r="N22" s="5">
        <v>122.4496</v>
      </c>
      <c r="O22" s="5">
        <v>572.54600000000005</v>
      </c>
      <c r="P22" s="5">
        <v>220.3391</v>
      </c>
      <c r="Q22" s="5">
        <v>547.98019999999997</v>
      </c>
      <c r="R22" s="5">
        <v>300.69729999999998</v>
      </c>
      <c r="S22" s="5">
        <v>262.58539999999999</v>
      </c>
      <c r="T22" s="5">
        <v>250.69820000000001</v>
      </c>
      <c r="U22" s="5">
        <v>207.08430000000001</v>
      </c>
      <c r="V22" s="5">
        <v>267.31330000000003</v>
      </c>
    </row>
    <row r="23" spans="1:22" x14ac:dyDescent="0.4">
      <c r="B23" s="2">
        <v>2</v>
      </c>
      <c r="C23" s="5">
        <v>746.02940000000001</v>
      </c>
      <c r="D23" s="5">
        <v>1056.25</v>
      </c>
      <c r="E23" s="5">
        <v>1027.798</v>
      </c>
      <c r="F23" s="5">
        <v>1081.473</v>
      </c>
      <c r="G23" s="5">
        <v>927.82870000000003</v>
      </c>
      <c r="H23" s="5">
        <v>894.01</v>
      </c>
      <c r="I23" s="5">
        <v>732.27800000000002</v>
      </c>
      <c r="J23" s="5">
        <v>742.02539999999999</v>
      </c>
      <c r="K23" s="5">
        <v>499.40800000000002</v>
      </c>
      <c r="L23" s="5">
        <v>517.57060000000001</v>
      </c>
      <c r="M23" s="5">
        <v>728.09100000000001</v>
      </c>
      <c r="N23" s="5">
        <v>789.26850000000002</v>
      </c>
      <c r="O23" s="5">
        <v>759.90880000000004</v>
      </c>
      <c r="P23" s="5">
        <v>574.31920000000002</v>
      </c>
      <c r="Q23" s="5">
        <v>611.33900000000006</v>
      </c>
      <c r="R23" s="5">
        <v>369.20830000000001</v>
      </c>
      <c r="S23" s="5">
        <v>308.30540000000002</v>
      </c>
      <c r="T23" s="5">
        <v>266.02370000000002</v>
      </c>
      <c r="U23" s="5">
        <v>213.99870000000001</v>
      </c>
      <c r="V23" s="5">
        <v>318.17970000000003</v>
      </c>
    </row>
    <row r="25" spans="1:22" x14ac:dyDescent="0.4">
      <c r="E25" s="3" t="s">
        <v>13</v>
      </c>
      <c r="F25" s="3"/>
      <c r="G25" s="3"/>
      <c r="H25" s="3"/>
      <c r="K25" s="3" t="s">
        <v>13</v>
      </c>
      <c r="L25" s="3"/>
      <c r="M25" s="3"/>
      <c r="N25" s="3"/>
    </row>
    <row r="26" spans="1:22" x14ac:dyDescent="0.4">
      <c r="E26" s="2" t="s">
        <v>2</v>
      </c>
      <c r="F26" s="2" t="s">
        <v>7</v>
      </c>
      <c r="G26" s="2" t="s">
        <v>8</v>
      </c>
      <c r="H26" s="2" t="s">
        <v>9</v>
      </c>
      <c r="K26" s="2" t="s">
        <v>2</v>
      </c>
      <c r="L26" s="2" t="s">
        <v>7</v>
      </c>
      <c r="M26" s="2" t="s">
        <v>8</v>
      </c>
      <c r="N26" s="2" t="s">
        <v>9</v>
      </c>
    </row>
    <row r="27" spans="1:22" x14ac:dyDescent="0.4">
      <c r="E27" s="5">
        <v>746.02940000000001</v>
      </c>
      <c r="F27" s="5">
        <v>894.01</v>
      </c>
      <c r="G27" s="5">
        <v>728.09100000000001</v>
      </c>
      <c r="H27" s="5">
        <v>369.20830000000001</v>
      </c>
      <c r="K27" s="2">
        <f>E27/967.87582</f>
        <v>0.77079040986890246</v>
      </c>
      <c r="L27" s="2">
        <f t="shared" ref="L27:N31" si="5">F27/967.87582</f>
        <v>0.92368254431648056</v>
      </c>
      <c r="M27" s="2">
        <f t="shared" si="5"/>
        <v>0.75225662730163056</v>
      </c>
      <c r="N27" s="2">
        <f t="shared" si="5"/>
        <v>0.38146246901797798</v>
      </c>
    </row>
    <row r="28" spans="1:22" x14ac:dyDescent="0.4">
      <c r="E28" s="5">
        <v>1056.25</v>
      </c>
      <c r="F28" s="5">
        <v>732.27800000000002</v>
      </c>
      <c r="G28" s="5">
        <v>789.26850000000002</v>
      </c>
      <c r="H28" s="5">
        <v>308.30540000000002</v>
      </c>
      <c r="K28" s="2">
        <f t="shared" ref="K28:K31" si="6">E28/967.87582</f>
        <v>1.0913073538710782</v>
      </c>
      <c r="L28" s="2">
        <f t="shared" si="5"/>
        <v>0.75658259548213536</v>
      </c>
      <c r="M28" s="2">
        <f t="shared" si="5"/>
        <v>0.81546463264264624</v>
      </c>
      <c r="N28" s="2">
        <f t="shared" si="5"/>
        <v>0.31853817775920884</v>
      </c>
    </row>
    <row r="29" spans="1:22" x14ac:dyDescent="0.4">
      <c r="E29" s="5">
        <v>1027.798</v>
      </c>
      <c r="F29" s="5">
        <v>742.02539999999999</v>
      </c>
      <c r="G29" s="5">
        <v>759.90880000000004</v>
      </c>
      <c r="H29" s="5">
        <v>266.02370000000002</v>
      </c>
      <c r="K29" s="2">
        <f t="shared" si="6"/>
        <v>1.0619110207753719</v>
      </c>
      <c r="L29" s="2">
        <f t="shared" si="5"/>
        <v>0.76665351553053573</v>
      </c>
      <c r="M29" s="2">
        <f t="shared" si="5"/>
        <v>0.78513047262612679</v>
      </c>
      <c r="N29" s="2">
        <f t="shared" si="5"/>
        <v>0.27485313146886964</v>
      </c>
    </row>
    <row r="30" spans="1:22" x14ac:dyDescent="0.4">
      <c r="E30" s="5">
        <v>1081.473</v>
      </c>
      <c r="F30" s="5">
        <v>499.40800000000002</v>
      </c>
      <c r="G30" s="5">
        <v>574.31920000000002</v>
      </c>
      <c r="H30" s="5">
        <v>213.99870000000001</v>
      </c>
      <c r="K30" s="2">
        <f t="shared" si="6"/>
        <v>1.1173675151839211</v>
      </c>
      <c r="L30" s="2">
        <f t="shared" si="5"/>
        <v>0.51598354838537042</v>
      </c>
      <c r="M30" s="2">
        <f t="shared" si="5"/>
        <v>0.59338108064317596</v>
      </c>
      <c r="N30" s="2">
        <f t="shared" si="5"/>
        <v>0.22110140121074626</v>
      </c>
    </row>
    <row r="31" spans="1:22" x14ac:dyDescent="0.4">
      <c r="E31" s="5">
        <v>927.82870000000003</v>
      </c>
      <c r="F31" s="5">
        <v>517.57060000000001</v>
      </c>
      <c r="G31" s="5">
        <v>611.33900000000006</v>
      </c>
      <c r="H31" s="5">
        <v>318.17970000000003</v>
      </c>
      <c r="K31" s="2">
        <f t="shared" si="6"/>
        <v>0.95862370030072663</v>
      </c>
      <c r="L31" s="2">
        <f t="shared" si="5"/>
        <v>0.5347489722390214</v>
      </c>
      <c r="M31" s="2">
        <f t="shared" si="5"/>
        <v>0.63162958239828748</v>
      </c>
      <c r="N31" s="2">
        <f t="shared" si="5"/>
        <v>0.32874020966863293</v>
      </c>
      <c r="Q31" s="2" t="s">
        <v>2</v>
      </c>
      <c r="R31" s="2" t="s">
        <v>7</v>
      </c>
      <c r="S31" s="2" t="s">
        <v>8</v>
      </c>
      <c r="T31" s="2" t="s">
        <v>9</v>
      </c>
    </row>
    <row r="32" spans="1:22" x14ac:dyDescent="0.4">
      <c r="D32" s="6" t="s">
        <v>10</v>
      </c>
      <c r="E32" s="6">
        <f>AVERAGE(E27:E31)</f>
        <v>967.87581999999998</v>
      </c>
      <c r="F32" s="6">
        <f t="shared" ref="F32:N32" si="7">AVERAGE(F27:F31)</f>
        <v>677.05840000000001</v>
      </c>
      <c r="G32" s="6">
        <f t="shared" si="7"/>
        <v>692.58529999999996</v>
      </c>
      <c r="H32" s="6">
        <f t="shared" si="7"/>
        <v>295.14315999999997</v>
      </c>
      <c r="J32" s="6" t="s">
        <v>10</v>
      </c>
      <c r="K32" s="6">
        <f t="shared" si="7"/>
        <v>1.0000000000000002</v>
      </c>
      <c r="L32" s="6">
        <f t="shared" si="7"/>
        <v>0.69953023519070867</v>
      </c>
      <c r="M32" s="6">
        <f t="shared" si="7"/>
        <v>0.71557247912237343</v>
      </c>
      <c r="N32" s="6">
        <f t="shared" si="7"/>
        <v>0.30493907782508711</v>
      </c>
      <c r="P32" s="2" t="s">
        <v>23</v>
      </c>
      <c r="Q32" s="2">
        <f>1-K32</f>
        <v>0</v>
      </c>
      <c r="R32" s="2">
        <f t="shared" ref="R32:T32" si="8">1-L32</f>
        <v>0.30046976480929133</v>
      </c>
      <c r="S32" s="2">
        <f t="shared" si="8"/>
        <v>0.28442752087762657</v>
      </c>
      <c r="T32" s="2">
        <f t="shared" si="8"/>
        <v>0.69506092217491289</v>
      </c>
    </row>
    <row r="33" spans="1:20" x14ac:dyDescent="0.4">
      <c r="D33" s="6" t="s">
        <v>11</v>
      </c>
      <c r="E33" s="6">
        <f>STDEV(E27:E31)</f>
        <v>137.04432543677925</v>
      </c>
      <c r="F33" s="6">
        <f t="shared" ref="F33:N33" si="9">STDEV(F27:F31)</f>
        <v>166.83370090056792</v>
      </c>
      <c r="G33" s="6">
        <f t="shared" si="9"/>
        <v>94.510027536606373</v>
      </c>
      <c r="H33" s="6">
        <f t="shared" si="9"/>
        <v>58.356529282489163</v>
      </c>
      <c r="J33" s="6" t="s">
        <v>11</v>
      </c>
      <c r="K33" s="6">
        <f t="shared" si="9"/>
        <v>0.14159288062055178</v>
      </c>
      <c r="L33" s="6">
        <f t="shared" si="9"/>
        <v>0.17237097719888042</v>
      </c>
      <c r="M33" s="6">
        <f t="shared" si="9"/>
        <v>9.7646852606158699E-2</v>
      </c>
      <c r="N33" s="6">
        <f t="shared" si="9"/>
        <v>6.0293405493371116E-2</v>
      </c>
      <c r="R33" s="2">
        <f>R32*S32</f>
        <v>8.5461870303390253E-2</v>
      </c>
      <c r="S33" s="2" t="s">
        <v>24</v>
      </c>
      <c r="T33" s="11">
        <f>T32/(R32+S32-R33)</f>
        <v>1.3916933016076964</v>
      </c>
    </row>
    <row r="35" spans="1:20" x14ac:dyDescent="0.4">
      <c r="A35" s="1" t="s">
        <v>14</v>
      </c>
      <c r="C35" s="3" t="s">
        <v>1</v>
      </c>
      <c r="D35" s="3"/>
      <c r="E35" s="3"/>
      <c r="F35" s="3"/>
      <c r="G35" s="3"/>
      <c r="H35" s="3"/>
      <c r="J35" s="1" t="s">
        <v>15</v>
      </c>
      <c r="K35" s="3" t="s">
        <v>13</v>
      </c>
      <c r="L35" s="3"/>
      <c r="M35" s="3"/>
      <c r="N35" s="3"/>
      <c r="O35" s="3"/>
      <c r="P35" s="3"/>
    </row>
    <row r="36" spans="1:20" x14ac:dyDescent="0.4">
      <c r="C36" s="7" t="s">
        <v>16</v>
      </c>
      <c r="D36" s="7"/>
      <c r="E36" s="7"/>
      <c r="F36" s="7"/>
      <c r="G36" s="7"/>
      <c r="H36" s="7"/>
      <c r="K36" s="7" t="s">
        <v>16</v>
      </c>
      <c r="L36" s="7"/>
      <c r="M36" s="7"/>
      <c r="N36" s="7"/>
      <c r="O36" s="7"/>
      <c r="P36" s="7"/>
    </row>
    <row r="37" spans="1:20" x14ac:dyDescent="0.4">
      <c r="C37" s="2" t="s">
        <v>17</v>
      </c>
      <c r="D37" s="2">
        <v>129.6396</v>
      </c>
      <c r="E37" s="2">
        <v>94.011840000000007</v>
      </c>
      <c r="F37" s="2">
        <v>70.686719999999994</v>
      </c>
      <c r="G37" s="2">
        <v>118.2636</v>
      </c>
      <c r="H37" s="2">
        <v>55.036799999999999</v>
      </c>
      <c r="K37" s="2" t="s">
        <v>17</v>
      </c>
      <c r="L37" s="2">
        <v>101.23779999999999</v>
      </c>
      <c r="M37" s="2">
        <v>76.677120000000002</v>
      </c>
      <c r="N37" s="2">
        <v>98.733959999999996</v>
      </c>
      <c r="O37" s="2">
        <v>106.964</v>
      </c>
      <c r="P37" s="2">
        <v>108.0903</v>
      </c>
    </row>
    <row r="38" spans="1:20" x14ac:dyDescent="0.4">
      <c r="C38" s="2">
        <v>1</v>
      </c>
      <c r="D38" s="2">
        <v>225.43350000000001</v>
      </c>
      <c r="E38" s="2">
        <v>379.45699999999999</v>
      </c>
      <c r="F38" s="2">
        <v>533.30211999999995</v>
      </c>
      <c r="G38" s="2">
        <v>428.36770000000001</v>
      </c>
      <c r="H38" s="2">
        <v>469.6474</v>
      </c>
      <c r="K38" s="2">
        <v>1</v>
      </c>
      <c r="L38" s="2">
        <v>434.589</v>
      </c>
      <c r="M38" s="2">
        <v>398.59870000000001</v>
      </c>
      <c r="N38" s="2">
        <v>499.22030000000001</v>
      </c>
      <c r="O38" s="2">
        <v>578.19269999999995</v>
      </c>
      <c r="P38" s="2">
        <v>484.37529999999998</v>
      </c>
    </row>
    <row r="39" spans="1:20" x14ac:dyDescent="0.4">
      <c r="C39" s="2">
        <v>2</v>
      </c>
      <c r="D39" s="2">
        <v>1038.4549999999999</v>
      </c>
      <c r="E39" s="2">
        <v>1081.0909999999999</v>
      </c>
      <c r="F39" s="2">
        <v>1240.39708</v>
      </c>
      <c r="G39" s="2">
        <v>889.78499999999997</v>
      </c>
      <c r="H39" s="2">
        <v>744.18499999999995</v>
      </c>
      <c r="K39" s="2">
        <v>2</v>
      </c>
      <c r="L39" s="2">
        <v>746.02940000000001</v>
      </c>
      <c r="M39" s="2">
        <v>1056.25</v>
      </c>
      <c r="N39" s="2">
        <v>1027.798</v>
      </c>
      <c r="O39" s="2">
        <v>1081.473</v>
      </c>
      <c r="P39" s="2">
        <v>927.82870000000003</v>
      </c>
    </row>
    <row r="41" spans="1:20" x14ac:dyDescent="0.4">
      <c r="C41" s="7" t="s">
        <v>3</v>
      </c>
      <c r="D41" s="7"/>
      <c r="E41" s="7"/>
      <c r="F41" s="7"/>
      <c r="G41" s="7"/>
      <c r="H41" s="7"/>
      <c r="K41" s="7" t="s">
        <v>3</v>
      </c>
      <c r="L41" s="7"/>
      <c r="M41" s="7"/>
      <c r="N41" s="7"/>
      <c r="O41" s="7"/>
      <c r="P41" s="7"/>
    </row>
    <row r="42" spans="1:20" x14ac:dyDescent="0.4">
      <c r="C42" s="2" t="s">
        <v>17</v>
      </c>
      <c r="D42" s="2">
        <v>153.79</v>
      </c>
      <c r="E42" s="2">
        <v>131.5746</v>
      </c>
      <c r="F42" s="2">
        <v>86.430239999999998</v>
      </c>
      <c r="G42" s="2">
        <v>107.6275</v>
      </c>
      <c r="H42" s="2">
        <v>64.233000000000004</v>
      </c>
      <c r="K42" s="2" t="s">
        <v>17</v>
      </c>
      <c r="L42" s="2">
        <v>151.91489999999999</v>
      </c>
      <c r="M42" s="2">
        <v>115.8477</v>
      </c>
      <c r="N42" s="2">
        <v>160.98259999999999</v>
      </c>
      <c r="O42" s="2">
        <v>53.202240000000003</v>
      </c>
      <c r="P42" s="2">
        <v>62.300159999999998</v>
      </c>
    </row>
    <row r="43" spans="1:20" x14ac:dyDescent="0.4">
      <c r="C43" s="2">
        <v>1</v>
      </c>
      <c r="D43" s="2">
        <v>249.7295</v>
      </c>
      <c r="E43" s="2">
        <v>464.60700000000003</v>
      </c>
      <c r="F43" s="2">
        <v>546.36559999999997</v>
      </c>
      <c r="G43" s="2">
        <v>304.19380000000001</v>
      </c>
      <c r="H43" s="2">
        <v>279.09750000000003</v>
      </c>
      <c r="K43" s="2">
        <v>1</v>
      </c>
      <c r="L43" s="2">
        <v>205.48480000000001</v>
      </c>
      <c r="M43" s="2">
        <v>180.33600000000001</v>
      </c>
      <c r="N43" s="2">
        <v>559.33699999999999</v>
      </c>
      <c r="O43" s="2">
        <v>362.101</v>
      </c>
      <c r="P43" s="2">
        <v>303.7133</v>
      </c>
    </row>
    <row r="44" spans="1:20" x14ac:dyDescent="0.4">
      <c r="C44" s="2">
        <v>2</v>
      </c>
      <c r="D44" s="2">
        <v>967.46</v>
      </c>
      <c r="E44" s="2">
        <v>692.49019999999996</v>
      </c>
      <c r="F44" s="2">
        <v>673.24609999999996</v>
      </c>
      <c r="G44" s="2">
        <v>536.95619999999997</v>
      </c>
      <c r="H44" s="2">
        <v>411.51339999999999</v>
      </c>
      <c r="K44" s="2">
        <v>2</v>
      </c>
      <c r="L44" s="2">
        <v>894.01</v>
      </c>
      <c r="M44" s="2">
        <v>732.27800000000002</v>
      </c>
      <c r="N44" s="2">
        <v>742.02539999999999</v>
      </c>
      <c r="O44" s="2">
        <v>499.40800000000002</v>
      </c>
      <c r="P44" s="2">
        <v>517.57060000000001</v>
      </c>
    </row>
    <row r="46" spans="1:20" x14ac:dyDescent="0.4">
      <c r="C46" s="7" t="s">
        <v>4</v>
      </c>
      <c r="D46" s="7"/>
      <c r="E46" s="7"/>
      <c r="F46" s="7"/>
      <c r="G46" s="7"/>
      <c r="H46" s="7"/>
      <c r="K46" s="7" t="s">
        <v>4</v>
      </c>
      <c r="L46" s="7"/>
      <c r="M46" s="7"/>
      <c r="N46" s="7"/>
      <c r="O46" s="7"/>
      <c r="P46" s="7"/>
    </row>
    <row r="47" spans="1:20" x14ac:dyDescent="0.4">
      <c r="C47" s="2" t="s">
        <v>17</v>
      </c>
      <c r="D47" s="2">
        <v>104.04989999999999</v>
      </c>
      <c r="E47" s="2">
        <v>83.2</v>
      </c>
      <c r="F47" s="2">
        <v>92.951040000000006</v>
      </c>
      <c r="G47" s="2">
        <v>99.326239999999999</v>
      </c>
      <c r="H47" s="2">
        <v>136.65600000000001</v>
      </c>
      <c r="K47" s="2" t="s">
        <v>17</v>
      </c>
      <c r="L47" s="2">
        <v>88.657920000000004</v>
      </c>
      <c r="M47" s="2">
        <v>62.496200000000002</v>
      </c>
      <c r="N47" s="2">
        <v>92.807000000000002</v>
      </c>
      <c r="O47" s="2">
        <v>105.4966</v>
      </c>
      <c r="P47" s="2">
        <v>156.85489999999999</v>
      </c>
    </row>
    <row r="48" spans="1:20" x14ac:dyDescent="0.4">
      <c r="C48" s="2">
        <v>1</v>
      </c>
      <c r="D48" s="2">
        <v>135.34979999999999</v>
      </c>
      <c r="E48" s="2">
        <v>291.05860000000001</v>
      </c>
      <c r="F48" s="2">
        <v>416.01089999999999</v>
      </c>
      <c r="G48" s="2">
        <v>224.0909</v>
      </c>
      <c r="H48" s="2">
        <v>489.26799999999997</v>
      </c>
      <c r="K48" s="2">
        <v>1</v>
      </c>
      <c r="L48" s="2">
        <v>288.19229999999999</v>
      </c>
      <c r="M48" s="2">
        <v>122.4496</v>
      </c>
      <c r="N48" s="2">
        <v>572.54600000000005</v>
      </c>
      <c r="O48" s="2">
        <v>220.3391</v>
      </c>
      <c r="P48" s="2">
        <v>547.98019999999997</v>
      </c>
    </row>
    <row r="49" spans="1:16" x14ac:dyDescent="0.4">
      <c r="C49" s="2">
        <v>2</v>
      </c>
      <c r="D49" s="2">
        <v>629.20000000000005</v>
      </c>
      <c r="E49" s="2">
        <v>697.50720000000001</v>
      </c>
      <c r="F49" s="2">
        <v>810.06539999999995</v>
      </c>
      <c r="G49" s="2">
        <v>647.82899999999995</v>
      </c>
      <c r="H49" s="2">
        <v>531.94749999999999</v>
      </c>
      <c r="K49" s="2">
        <v>2</v>
      </c>
      <c r="L49" s="2">
        <v>728.09100000000001</v>
      </c>
      <c r="M49" s="2">
        <v>789.26850000000002</v>
      </c>
      <c r="N49" s="2">
        <v>759.90880000000004</v>
      </c>
      <c r="O49" s="2">
        <v>574.31920000000002</v>
      </c>
      <c r="P49" s="2">
        <v>611.33900000000006</v>
      </c>
    </row>
    <row r="51" spans="1:16" x14ac:dyDescent="0.4">
      <c r="C51" s="7" t="s">
        <v>18</v>
      </c>
      <c r="D51" s="7"/>
      <c r="E51" s="7"/>
      <c r="F51" s="7"/>
      <c r="G51" s="7"/>
      <c r="H51" s="7"/>
      <c r="K51" s="7" t="s">
        <v>18</v>
      </c>
      <c r="L51" s="7"/>
      <c r="M51" s="7"/>
      <c r="N51" s="7"/>
      <c r="O51" s="7"/>
      <c r="P51" s="7"/>
    </row>
    <row r="52" spans="1:16" x14ac:dyDescent="0.4">
      <c r="C52" s="2" t="s">
        <v>17</v>
      </c>
      <c r="D52" s="2">
        <v>92.3</v>
      </c>
      <c r="E52" s="2">
        <v>91.395200000000003</v>
      </c>
      <c r="F52" s="2">
        <v>66.171559999999999</v>
      </c>
      <c r="G52" s="2">
        <v>42.000920000000001</v>
      </c>
      <c r="H52" s="2">
        <v>156.39680000000001</v>
      </c>
      <c r="K52" s="2" t="s">
        <v>17</v>
      </c>
      <c r="L52" s="2">
        <v>75.479039999999998</v>
      </c>
      <c r="M52" s="2">
        <v>105.169</v>
      </c>
      <c r="N52" s="2">
        <v>116.402</v>
      </c>
      <c r="O52" s="2">
        <v>80.599999999999994</v>
      </c>
      <c r="P52" s="2">
        <v>90.979200000000006</v>
      </c>
    </row>
    <row r="53" spans="1:16" x14ac:dyDescent="0.4">
      <c r="C53" s="2">
        <v>1</v>
      </c>
      <c r="D53" s="2">
        <v>231.82849999999999</v>
      </c>
      <c r="E53" s="2">
        <v>191.411</v>
      </c>
      <c r="F53" s="2">
        <v>216.4032</v>
      </c>
      <c r="G53" s="2">
        <v>88.644919999999999</v>
      </c>
      <c r="H53" s="2">
        <v>204.46299999999999</v>
      </c>
      <c r="K53" s="2">
        <v>1</v>
      </c>
      <c r="L53" s="2">
        <v>300.69729999999998</v>
      </c>
      <c r="M53" s="2">
        <v>262.58539999999999</v>
      </c>
      <c r="N53" s="2">
        <v>250.69820000000001</v>
      </c>
      <c r="O53" s="2">
        <v>207.08430000000001</v>
      </c>
      <c r="P53" s="2">
        <v>267.31330000000003</v>
      </c>
    </row>
    <row r="54" spans="1:16" x14ac:dyDescent="0.4">
      <c r="C54" s="2">
        <v>2</v>
      </c>
      <c r="D54" s="2">
        <v>385.71620000000001</v>
      </c>
      <c r="E54" s="2">
        <v>258.30270000000002</v>
      </c>
      <c r="F54" s="2">
        <v>189.89359999999999</v>
      </c>
      <c r="G54" s="2">
        <v>368.18599999999998</v>
      </c>
      <c r="H54" s="2">
        <v>226.02109999999999</v>
      </c>
      <c r="K54" s="2">
        <v>2</v>
      </c>
      <c r="L54" s="2">
        <v>369.20830000000001</v>
      </c>
      <c r="M54" s="2">
        <v>308.30540000000002</v>
      </c>
      <c r="N54" s="2">
        <v>266.02370000000002</v>
      </c>
      <c r="O54" s="2">
        <v>213.99870000000001</v>
      </c>
      <c r="P54" s="2">
        <v>318.17970000000003</v>
      </c>
    </row>
    <row r="62" spans="1:16" x14ac:dyDescent="0.4">
      <c r="A62" s="1" t="s">
        <v>19</v>
      </c>
      <c r="C62" s="3" t="s">
        <v>1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 x14ac:dyDescent="0.4">
      <c r="C63" s="7" t="s">
        <v>20</v>
      </c>
      <c r="D63" s="7"/>
      <c r="E63" s="7"/>
      <c r="F63" s="7"/>
      <c r="H63" s="2" t="s">
        <v>21</v>
      </c>
      <c r="M63" s="7" t="s">
        <v>22</v>
      </c>
      <c r="N63" s="7"/>
      <c r="O63" s="7"/>
      <c r="P63" s="7"/>
    </row>
    <row r="64" spans="1:16" x14ac:dyDescent="0.4">
      <c r="C64" s="2" t="s">
        <v>2</v>
      </c>
      <c r="D64" s="2" t="s">
        <v>7</v>
      </c>
      <c r="E64" s="2" t="s">
        <v>8</v>
      </c>
      <c r="F64" s="2" t="s">
        <v>9</v>
      </c>
      <c r="H64" s="2" t="s">
        <v>2</v>
      </c>
      <c r="I64" s="2" t="s">
        <v>7</v>
      </c>
      <c r="J64" s="2" t="s">
        <v>8</v>
      </c>
      <c r="K64" s="2" t="s">
        <v>9</v>
      </c>
      <c r="M64" s="2" t="s">
        <v>2</v>
      </c>
      <c r="N64" s="2" t="s">
        <v>7</v>
      </c>
      <c r="O64" s="2" t="s">
        <v>8</v>
      </c>
      <c r="P64" s="2" t="s">
        <v>9</v>
      </c>
    </row>
    <row r="65" spans="2:16" x14ac:dyDescent="0.4">
      <c r="C65" s="5">
        <v>0.97599999999999998</v>
      </c>
      <c r="D65" s="5">
        <v>0.73599999999999999</v>
      </c>
      <c r="E65" s="5">
        <v>0.69599999999999995</v>
      </c>
      <c r="F65" s="5">
        <v>0.20799999999999999</v>
      </c>
      <c r="H65" s="5">
        <v>1.0582959999999999</v>
      </c>
      <c r="I65" s="5">
        <v>0.73542600000000002</v>
      </c>
      <c r="J65" s="5">
        <v>0.78026899999999999</v>
      </c>
      <c r="K65" s="5">
        <v>0.18834100000000001</v>
      </c>
      <c r="M65" s="5">
        <v>1.089498189</v>
      </c>
      <c r="N65" s="5">
        <v>0.80082772899999999</v>
      </c>
      <c r="O65" s="5">
        <v>0.86445939000000005</v>
      </c>
      <c r="P65" s="5">
        <v>0.59596482200000001</v>
      </c>
    </row>
    <row r="66" spans="2:16" x14ac:dyDescent="0.4">
      <c r="C66" s="5">
        <v>1.2106669999999999</v>
      </c>
      <c r="D66" s="5">
        <v>0.61866699999999997</v>
      </c>
      <c r="E66" s="5">
        <v>0.95199999999999996</v>
      </c>
      <c r="F66" s="5">
        <v>0.32800000000000001</v>
      </c>
      <c r="H66" s="5">
        <v>1.085202</v>
      </c>
      <c r="I66" s="5">
        <v>0.72645700000000002</v>
      </c>
      <c r="J66" s="5">
        <v>0.69506699999999999</v>
      </c>
      <c r="K66" s="5">
        <v>0.19730900000000001</v>
      </c>
      <c r="M66" s="5">
        <v>1.01810657</v>
      </c>
      <c r="N66" s="5">
        <v>0.79306776999999995</v>
      </c>
      <c r="O66" s="5">
        <v>0.99172271099999998</v>
      </c>
      <c r="P66" s="5">
        <v>0.591308846</v>
      </c>
    </row>
    <row r="67" spans="2:16" x14ac:dyDescent="0.4">
      <c r="C67" s="5">
        <v>0.81333299999999997</v>
      </c>
      <c r="D67" s="5">
        <v>0.72799999999999998</v>
      </c>
      <c r="E67" s="5">
        <v>0.94399999999999995</v>
      </c>
      <c r="F67" s="5">
        <v>0.27200000000000002</v>
      </c>
      <c r="H67" s="5">
        <v>0.85650199999999999</v>
      </c>
      <c r="I67" s="5">
        <v>0.58296000000000003</v>
      </c>
      <c r="J67" s="5">
        <v>0.65919300000000003</v>
      </c>
      <c r="K67" s="5">
        <v>0.22869999999999999</v>
      </c>
      <c r="M67" s="5">
        <v>0.89239524100000001</v>
      </c>
      <c r="N67" s="5">
        <v>0.70770822600000005</v>
      </c>
      <c r="O67" s="5">
        <v>0.84273150500000005</v>
      </c>
      <c r="P67" s="5">
        <v>0.44231764099999998</v>
      </c>
    </row>
    <row r="69" spans="2:16" x14ac:dyDescent="0.4">
      <c r="B69" s="8" t="s">
        <v>10</v>
      </c>
      <c r="C69" s="6">
        <f>AVERAGE(C65:C67)</f>
        <v>1</v>
      </c>
      <c r="D69" s="6">
        <f t="shared" ref="D69:K69" si="10">AVERAGE(D65:D67)</f>
        <v>0.69422233333333327</v>
      </c>
      <c r="E69" s="6">
        <f t="shared" si="10"/>
        <v>0.86399999999999988</v>
      </c>
      <c r="F69" s="6">
        <f t="shared" si="10"/>
        <v>0.26933333333333337</v>
      </c>
      <c r="G69" s="8" t="s">
        <v>10</v>
      </c>
      <c r="H69" s="6">
        <f t="shared" si="10"/>
        <v>1</v>
      </c>
      <c r="I69" s="6">
        <f t="shared" si="10"/>
        <v>0.68161433333333343</v>
      </c>
      <c r="J69" s="6">
        <f t="shared" si="10"/>
        <v>0.71150966666666671</v>
      </c>
      <c r="K69" s="6">
        <f t="shared" si="10"/>
        <v>0.20478333333333334</v>
      </c>
      <c r="L69" s="8" t="s">
        <v>10</v>
      </c>
      <c r="M69" s="6">
        <f>AVERAGE(M65:M67)</f>
        <v>1</v>
      </c>
      <c r="N69" s="6">
        <f t="shared" ref="N69:P69" si="11">AVERAGE(N65:N67)</f>
        <v>0.76720124166666659</v>
      </c>
      <c r="O69" s="6">
        <f t="shared" si="11"/>
        <v>0.89963786866666673</v>
      </c>
      <c r="P69" s="6">
        <f t="shared" si="11"/>
        <v>0.54319710300000001</v>
      </c>
    </row>
    <row r="70" spans="2:16" x14ac:dyDescent="0.4">
      <c r="B70" s="8" t="s">
        <v>11</v>
      </c>
      <c r="C70" s="6">
        <f>STDEV(C65:C67)</f>
        <v>0.19975128757782751</v>
      </c>
      <c r="D70" s="6">
        <f t="shared" ref="D70:K70" si="12">STDEV(D65:D67)</f>
        <v>6.5554986815141186E-2</v>
      </c>
      <c r="E70" s="6">
        <f t="shared" si="12"/>
        <v>0.14554724318928308</v>
      </c>
      <c r="F70" s="6">
        <f t="shared" si="12"/>
        <v>6.0044427995721093E-2</v>
      </c>
      <c r="G70" s="8" t="s">
        <v>11</v>
      </c>
      <c r="H70" s="6">
        <f t="shared" si="12"/>
        <v>0.12499896084368062</v>
      </c>
      <c r="I70" s="6">
        <f t="shared" si="12"/>
        <v>8.5554771078726513E-2</v>
      </c>
      <c r="J70" s="6">
        <f t="shared" si="12"/>
        <v>6.2190195443762128E-2</v>
      </c>
      <c r="K70" s="6">
        <f t="shared" si="12"/>
        <v>2.1192250100764025E-2</v>
      </c>
      <c r="L70" s="8" t="s">
        <v>11</v>
      </c>
      <c r="M70" s="6">
        <f>STDEV(M65:M67)</f>
        <v>9.9791176641255946E-2</v>
      </c>
      <c r="N70" s="6">
        <f t="shared" ref="N70:P70" si="13">STDEV(N65:N67)</f>
        <v>5.1668350329346684E-2</v>
      </c>
      <c r="O70" s="6">
        <f t="shared" si="13"/>
        <v>8.0484401515507606E-2</v>
      </c>
      <c r="P70" s="6">
        <f t="shared" si="13"/>
        <v>8.7395188186680337E-2</v>
      </c>
    </row>
    <row r="75" spans="2:16" x14ac:dyDescent="0.4">
      <c r="C75" s="3" t="s">
        <v>13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2:16" x14ac:dyDescent="0.4">
      <c r="C76" s="9" t="s">
        <v>20</v>
      </c>
      <c r="D76" s="9"/>
      <c r="E76" s="9"/>
      <c r="F76" s="9"/>
      <c r="H76" s="9" t="s">
        <v>21</v>
      </c>
      <c r="I76" s="9"/>
      <c r="J76" s="9"/>
      <c r="K76" s="9"/>
      <c r="M76" s="9" t="s">
        <v>22</v>
      </c>
      <c r="N76" s="9"/>
      <c r="O76" s="9"/>
      <c r="P76" s="9"/>
    </row>
    <row r="77" spans="2:16" x14ac:dyDescent="0.4">
      <c r="C77" s="2" t="s">
        <v>2</v>
      </c>
      <c r="D77" s="2" t="s">
        <v>7</v>
      </c>
      <c r="E77" s="2" t="s">
        <v>8</v>
      </c>
      <c r="F77" s="2" t="s">
        <v>9</v>
      </c>
      <c r="H77" s="2" t="s">
        <v>2</v>
      </c>
      <c r="I77" s="2" t="s">
        <v>7</v>
      </c>
      <c r="J77" s="2" t="s">
        <v>8</v>
      </c>
      <c r="K77" s="2" t="s">
        <v>9</v>
      </c>
      <c r="M77" s="2" t="s">
        <v>2</v>
      </c>
      <c r="N77" s="2" t="s">
        <v>7</v>
      </c>
      <c r="O77" s="2" t="s">
        <v>8</v>
      </c>
      <c r="P77" s="2" t="s">
        <v>9</v>
      </c>
    </row>
    <row r="78" spans="2:16" x14ac:dyDescent="0.4">
      <c r="C78" s="5">
        <v>1.003263</v>
      </c>
      <c r="D78" s="5">
        <v>0.633768</v>
      </c>
      <c r="E78" s="5">
        <v>0.63132100000000002</v>
      </c>
      <c r="F78" s="5">
        <v>0.24225099999999999</v>
      </c>
      <c r="H78" s="5">
        <v>1.1401730000000001</v>
      </c>
      <c r="I78" s="5">
        <v>0.61127200000000004</v>
      </c>
      <c r="J78" s="5">
        <v>0.81936399999999998</v>
      </c>
      <c r="K78" s="5">
        <v>0.26878600000000002</v>
      </c>
      <c r="M78" s="5">
        <v>1.0614469769999999</v>
      </c>
      <c r="N78" s="5">
        <v>0.61100099100000005</v>
      </c>
      <c r="O78" s="5">
        <v>0.79534192299999995</v>
      </c>
      <c r="P78" s="5">
        <v>0.50842418199999995</v>
      </c>
    </row>
    <row r="79" spans="2:16" x14ac:dyDescent="0.4">
      <c r="C79" s="5">
        <v>0.93964099999999995</v>
      </c>
      <c r="D79" s="5">
        <v>0.66068499999999997</v>
      </c>
      <c r="E79" s="5">
        <v>0.98368699999999998</v>
      </c>
      <c r="F79" s="5">
        <v>0.29363800000000001</v>
      </c>
      <c r="H79" s="5">
        <v>0.96676300000000004</v>
      </c>
      <c r="I79" s="5">
        <v>0.83237000000000005</v>
      </c>
      <c r="J79" s="5">
        <v>0.74566500000000002</v>
      </c>
      <c r="K79" s="5">
        <v>0.27745700000000001</v>
      </c>
      <c r="M79" s="5">
        <v>1.0703666999999999</v>
      </c>
      <c r="N79" s="5">
        <v>0.77601585699999998</v>
      </c>
      <c r="O79" s="5">
        <v>0.85183349900000005</v>
      </c>
      <c r="P79" s="5">
        <v>0.45490584699999997</v>
      </c>
    </row>
    <row r="80" spans="2:16" x14ac:dyDescent="0.4">
      <c r="C80" s="5">
        <v>1.057096</v>
      </c>
      <c r="D80" s="5">
        <v>0.65334400000000004</v>
      </c>
      <c r="E80" s="5">
        <v>0.81484500000000004</v>
      </c>
      <c r="F80" s="5">
        <v>0.18352399999999999</v>
      </c>
      <c r="H80" s="5">
        <v>0.89306399999999997</v>
      </c>
      <c r="I80" s="5">
        <v>0.69797699999999996</v>
      </c>
      <c r="J80" s="5">
        <v>0.65895999999999999</v>
      </c>
      <c r="K80" s="5">
        <v>0.18208099999999999</v>
      </c>
      <c r="M80" s="5">
        <v>0.86818632299999998</v>
      </c>
      <c r="N80" s="5">
        <v>0.80723488600000004</v>
      </c>
      <c r="O80" s="5">
        <v>0.81466798799999995</v>
      </c>
      <c r="P80" s="5">
        <v>0.521803766</v>
      </c>
    </row>
    <row r="82" spans="2:16" x14ac:dyDescent="0.4">
      <c r="B82" s="8" t="s">
        <v>10</v>
      </c>
      <c r="C82" s="6">
        <f>AVERAGE(C78:C80)</f>
        <v>1</v>
      </c>
      <c r="D82" s="6">
        <f t="shared" ref="D82:K82" si="14">AVERAGE(D78:D80)</f>
        <v>0.64926566666666663</v>
      </c>
      <c r="E82" s="6">
        <f t="shared" si="14"/>
        <v>0.80995099999999998</v>
      </c>
      <c r="F82" s="6">
        <f t="shared" si="14"/>
        <v>0.23980433333333337</v>
      </c>
      <c r="G82" s="8" t="s">
        <v>10</v>
      </c>
      <c r="H82" s="6">
        <f t="shared" si="14"/>
        <v>1</v>
      </c>
      <c r="I82" s="6">
        <f t="shared" si="14"/>
        <v>0.71387299999999998</v>
      </c>
      <c r="J82" s="6">
        <f t="shared" si="14"/>
        <v>0.74132966666666666</v>
      </c>
      <c r="K82" s="6">
        <f t="shared" si="14"/>
        <v>0.24277466666666667</v>
      </c>
      <c r="L82" s="8" t="s">
        <v>10</v>
      </c>
      <c r="M82" s="6">
        <f>AVERAGE(M78:M80)</f>
        <v>1</v>
      </c>
      <c r="N82" s="6">
        <f t="shared" ref="N82:P82" si="15">AVERAGE(N78:N80)</f>
        <v>0.73141724466666658</v>
      </c>
      <c r="O82" s="6">
        <f t="shared" si="15"/>
        <v>0.8206144700000001</v>
      </c>
      <c r="P82" s="6">
        <f t="shared" si="15"/>
        <v>0.49504459833333331</v>
      </c>
    </row>
    <row r="83" spans="2:16" x14ac:dyDescent="0.4">
      <c r="B83" s="8" t="s">
        <v>11</v>
      </c>
      <c r="C83" s="6">
        <f>STDEV(C78:C80)</f>
        <v>5.8795447383279645E-2</v>
      </c>
      <c r="D83" s="6">
        <f t="shared" ref="D83:K83" si="16">STDEV(D78:D80)</f>
        <v>1.3914231000430212E-2</v>
      </c>
      <c r="E83" s="6">
        <f t="shared" si="16"/>
        <v>0.17623397208257038</v>
      </c>
      <c r="F83" s="6">
        <f t="shared" si="16"/>
        <v>5.509775750730074E-2</v>
      </c>
      <c r="G83" s="8" t="s">
        <v>11</v>
      </c>
      <c r="H83" s="6">
        <f t="shared" si="16"/>
        <v>0.12686306829412636</v>
      </c>
      <c r="I83" s="6">
        <f t="shared" si="16"/>
        <v>0.11140284337933211</v>
      </c>
      <c r="J83" s="6">
        <f t="shared" si="16"/>
        <v>8.0289832110506582E-2</v>
      </c>
      <c r="K83" s="6">
        <f t="shared" si="16"/>
        <v>5.2740756918472027E-2</v>
      </c>
      <c r="L83" s="8" t="s">
        <v>11</v>
      </c>
      <c r="M83" s="6">
        <f>STDEV(M78:M80)</f>
        <v>0.11424108038614839</v>
      </c>
      <c r="N83" s="6">
        <f t="shared" ref="N83:P83" si="17">STDEV(N78:N80)</f>
        <v>0.10544530598021959</v>
      </c>
      <c r="O83" s="6">
        <f t="shared" si="17"/>
        <v>2.8711409332758116E-2</v>
      </c>
      <c r="P83" s="6">
        <f t="shared" si="17"/>
        <v>3.5399051342552119E-2</v>
      </c>
    </row>
  </sheetData>
  <mergeCells count="28">
    <mergeCell ref="C75:P75"/>
    <mergeCell ref="K8:N8"/>
    <mergeCell ref="K25:N25"/>
    <mergeCell ref="C46:H46"/>
    <mergeCell ref="K46:P46"/>
    <mergeCell ref="C51:H51"/>
    <mergeCell ref="K51:P51"/>
    <mergeCell ref="C62:P62"/>
    <mergeCell ref="C63:F63"/>
    <mergeCell ref="M63:P63"/>
    <mergeCell ref="E25:H25"/>
    <mergeCell ref="C35:H35"/>
    <mergeCell ref="K35:P35"/>
    <mergeCell ref="C36:H36"/>
    <mergeCell ref="K36:P36"/>
    <mergeCell ref="C41:H41"/>
    <mergeCell ref="K41:P41"/>
    <mergeCell ref="C19:V19"/>
    <mergeCell ref="C20:G20"/>
    <mergeCell ref="H20:L20"/>
    <mergeCell ref="M20:Q20"/>
    <mergeCell ref="R20:V20"/>
    <mergeCell ref="C2:V2"/>
    <mergeCell ref="C3:G3"/>
    <mergeCell ref="H3:L3"/>
    <mergeCell ref="M3:Q3"/>
    <mergeCell ref="R3:V3"/>
    <mergeCell ref="E8:H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Siqi Liu</dc:creator>
  <cp:lastModifiedBy>Siqi Liu</cp:lastModifiedBy>
  <dcterms:created xsi:type="dcterms:W3CDTF">2026-02-10T11:32:22Z</dcterms:created>
  <dcterms:modified xsi:type="dcterms:W3CDTF">2026-02-10T12:05:47Z</dcterms:modified>
</cp:coreProperties>
</file>