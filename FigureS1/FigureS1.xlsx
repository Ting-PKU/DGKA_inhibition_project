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\"/>
    </mc:Choice>
  </mc:AlternateContent>
  <xr:revisionPtr revIDLastSave="0" documentId="8_{A07F2CC8-06B4-478E-BC76-1481A8606054}" xr6:coauthVersionLast="47" xr6:coauthVersionMax="47" xr10:uidLastSave="{00000000-0000-0000-0000-000000000000}"/>
  <bookViews>
    <workbookView xWindow="-98" yWindow="-98" windowWidth="23236" windowHeight="13875" xr2:uid="{035D9E8C-3734-46CE-955D-EEDD7D2DD9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  <c r="G53" i="1"/>
  <c r="H52" i="1"/>
  <c r="J57" i="1" s="1"/>
  <c r="G52" i="1"/>
  <c r="I57" i="1" s="1"/>
  <c r="H45" i="1"/>
  <c r="J49" i="1" s="1"/>
  <c r="G45" i="1"/>
  <c r="I49" i="1" s="1"/>
  <c r="J44" i="1"/>
  <c r="I44" i="1"/>
  <c r="H44" i="1"/>
  <c r="J50" i="1" s="1"/>
  <c r="G44" i="1"/>
  <c r="I50" i="1" s="1"/>
  <c r="H38" i="1"/>
  <c r="J39" i="1" s="1"/>
  <c r="G38" i="1"/>
  <c r="I40" i="1" s="1"/>
  <c r="J37" i="1"/>
  <c r="I37" i="1"/>
  <c r="H37" i="1"/>
  <c r="G37" i="1"/>
  <c r="H32" i="1"/>
  <c r="G32" i="1"/>
  <c r="H31" i="1"/>
  <c r="J35" i="1" s="1"/>
  <c r="G31" i="1"/>
  <c r="I31" i="1" s="1"/>
  <c r="H26" i="1"/>
  <c r="G26" i="1"/>
  <c r="H25" i="1"/>
  <c r="J29" i="1" s="1"/>
  <c r="G25" i="1"/>
  <c r="I29" i="1" s="1"/>
  <c r="J23" i="1"/>
  <c r="I23" i="1"/>
  <c r="H18" i="1"/>
  <c r="G18" i="1"/>
  <c r="H17" i="1"/>
  <c r="J22" i="1" s="1"/>
  <c r="G17" i="1"/>
  <c r="I22" i="1" s="1"/>
  <c r="H11" i="1"/>
  <c r="G11" i="1"/>
  <c r="H10" i="1"/>
  <c r="J15" i="1" s="1"/>
  <c r="G10" i="1"/>
  <c r="I15" i="1" s="1"/>
  <c r="H4" i="1"/>
  <c r="G4" i="1"/>
  <c r="H3" i="1"/>
  <c r="J8" i="1" s="1"/>
  <c r="G3" i="1"/>
  <c r="I5" i="1" s="1"/>
  <c r="I17" i="1" l="1"/>
  <c r="I39" i="1"/>
  <c r="J10" i="1"/>
  <c r="J38" i="1"/>
  <c r="J32" i="1"/>
  <c r="J47" i="1"/>
  <c r="J54" i="1"/>
  <c r="I3" i="1"/>
  <c r="J25" i="1"/>
  <c r="I32" i="1"/>
  <c r="I33" i="1"/>
  <c r="J33" i="1"/>
  <c r="I6" i="1"/>
  <c r="I13" i="1"/>
  <c r="I20" i="1"/>
  <c r="I27" i="1"/>
  <c r="I34" i="1"/>
  <c r="I41" i="1"/>
  <c r="I48" i="1"/>
  <c r="I55" i="1"/>
  <c r="I10" i="1"/>
  <c r="J17" i="1"/>
  <c r="J52" i="1"/>
  <c r="I25" i="1"/>
  <c r="I45" i="1"/>
  <c r="I4" i="1"/>
  <c r="I46" i="1"/>
  <c r="J11" i="1"/>
  <c r="J46" i="1"/>
  <c r="I26" i="1"/>
  <c r="I54" i="1"/>
  <c r="J26" i="1"/>
  <c r="J6" i="1"/>
  <c r="J13" i="1"/>
  <c r="J20" i="1"/>
  <c r="J27" i="1"/>
  <c r="J34" i="1"/>
  <c r="J41" i="1"/>
  <c r="J48" i="1"/>
  <c r="J55" i="1"/>
  <c r="I52" i="1"/>
  <c r="J31" i="1"/>
  <c r="J45" i="1"/>
  <c r="I11" i="1"/>
  <c r="I53" i="1"/>
  <c r="J4" i="1"/>
  <c r="J18" i="1"/>
  <c r="J53" i="1"/>
  <c r="I19" i="1"/>
  <c r="I47" i="1"/>
  <c r="J40" i="1"/>
  <c r="I7" i="1"/>
  <c r="I14" i="1"/>
  <c r="I21" i="1"/>
  <c r="I28" i="1"/>
  <c r="I35" i="1"/>
  <c r="I42" i="1"/>
  <c r="I56" i="1"/>
  <c r="J19" i="1"/>
  <c r="J7" i="1"/>
  <c r="J14" i="1"/>
  <c r="J21" i="1"/>
  <c r="J28" i="1"/>
  <c r="J42" i="1"/>
  <c r="J56" i="1"/>
  <c r="I18" i="1"/>
  <c r="I12" i="1"/>
  <c r="J5" i="1"/>
  <c r="I8" i="1"/>
  <c r="J3" i="1"/>
  <c r="I38" i="1"/>
  <c r="J12" i="1"/>
</calcChain>
</file>

<file path=xl/sharedStrings.xml><?xml version="1.0" encoding="utf-8"?>
<sst xmlns="http://schemas.openxmlformats.org/spreadsheetml/2006/main" count="56" uniqueCount="16">
  <si>
    <t>H-score</t>
  </si>
  <si>
    <t>Figure S1C</t>
    <phoneticPr fontId="4" type="noConversion"/>
  </si>
  <si>
    <t>DGKα</t>
  </si>
  <si>
    <t>PD-L1</t>
  </si>
  <si>
    <t>ESCC</t>
  </si>
  <si>
    <t>AEG</t>
  </si>
  <si>
    <t>GC</t>
  </si>
  <si>
    <t>CC</t>
  </si>
  <si>
    <t>RC</t>
  </si>
  <si>
    <t>HCC</t>
  </si>
  <si>
    <t>PCA</t>
  </si>
  <si>
    <t>GBC</t>
  </si>
  <si>
    <t>Mean</t>
    <phoneticPr fontId="2" type="noConversion"/>
  </si>
  <si>
    <t>SD</t>
    <phoneticPr fontId="2" type="noConversion"/>
  </si>
  <si>
    <t>DGKα Z-score</t>
    <phoneticPr fontId="2" type="noConversion"/>
  </si>
  <si>
    <t>PD-L1 Z-score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</si>
</sst>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209B-565E-423A-BF1A-22F03753FA9A}">
  <dimension ref="A1:J57"/>
  <sheetViews>
    <sheetView tabSelected="1" workbookViewId="0">
      <selection activeCell="N5" sqref="N5"/>
    </sheetView>
  </sheetViews>
  <sheetFormatPr defaultRowHeight="13.9" x14ac:dyDescent="0.4"/>
  <cols>
    <col min="1" max="1" width="13.06640625" style="1" customWidth="1"/>
    <col min="2" max="10" width="9.06640625" style="1"/>
  </cols>
  <sheetData>
    <row r="1" spans="1:10" x14ac:dyDescent="0.4">
      <c r="D1" s="2" t="s">
        <v>0</v>
      </c>
      <c r="E1" s="2"/>
    </row>
    <row r="2" spans="1:10" x14ac:dyDescent="0.4">
      <c r="A2" s="3" t="s">
        <v>1</v>
      </c>
      <c r="D2" s="1" t="s">
        <v>2</v>
      </c>
      <c r="E2" s="1" t="s">
        <v>3</v>
      </c>
      <c r="I2" s="1" t="s">
        <v>14</v>
      </c>
      <c r="J2" s="1" t="s">
        <v>15</v>
      </c>
    </row>
    <row r="3" spans="1:10" x14ac:dyDescent="0.4">
      <c r="C3" s="1" t="s">
        <v>4</v>
      </c>
      <c r="D3" s="1">
        <v>133.33330000000001</v>
      </c>
      <c r="E3" s="1">
        <v>139.33330000000001</v>
      </c>
      <c r="F3" s="1" t="s">
        <v>12</v>
      </c>
      <c r="G3" s="1">
        <f>AVERAGE(D3:D8)</f>
        <v>111.22221166666668</v>
      </c>
      <c r="H3" s="1">
        <f>AVERAGE(E3:E8)</f>
        <v>110.22222166666667</v>
      </c>
      <c r="I3" s="1">
        <f>(D3-$G$3)/$G$4</f>
        <v>1.5859117725757959</v>
      </c>
      <c r="J3" s="1">
        <f>(E3-$H$3)/$H$4</f>
        <v>1.9285565054115013</v>
      </c>
    </row>
    <row r="4" spans="1:10" x14ac:dyDescent="0.4">
      <c r="C4" s="1" t="s">
        <v>4</v>
      </c>
      <c r="D4" s="1">
        <v>108.66670000000001</v>
      </c>
      <c r="E4" s="1">
        <v>104</v>
      </c>
      <c r="F4" s="1" t="s">
        <v>13</v>
      </c>
      <c r="G4" s="1">
        <f>STDEV(D3:D8)</f>
        <v>13.942193201215149</v>
      </c>
      <c r="H4" s="1">
        <f>STDEV(E3:E8)</f>
        <v>15.094750012067616</v>
      </c>
      <c r="I4" s="1">
        <f t="shared" ref="I4:I8" si="0">(D4-$G$3)/$G$4</f>
        <v>-0.18329337642831875</v>
      </c>
      <c r="J4" s="1">
        <f t="shared" ref="J4:J8" si="1">(E4-$H$3)/$H$4</f>
        <v>-0.41221097810114549</v>
      </c>
    </row>
    <row r="5" spans="1:10" x14ac:dyDescent="0.4">
      <c r="C5" s="1" t="s">
        <v>4</v>
      </c>
      <c r="D5" s="1">
        <v>94.666669999999996</v>
      </c>
      <c r="E5" s="1">
        <v>102.66670000000001</v>
      </c>
      <c r="I5" s="1">
        <f t="shared" si="0"/>
        <v>-1.1874417050269943</v>
      </c>
      <c r="J5" s="1">
        <f t="shared" si="1"/>
        <v>-0.50053970159335814</v>
      </c>
    </row>
    <row r="6" spans="1:10" x14ac:dyDescent="0.4">
      <c r="C6" s="1" t="s">
        <v>4</v>
      </c>
      <c r="D6" s="1">
        <v>107.33329999999999</v>
      </c>
      <c r="E6" s="1">
        <v>105.33329999999999</v>
      </c>
      <c r="I6" s="1">
        <f t="shared" si="0"/>
        <v>-0.27893112730124436</v>
      </c>
      <c r="J6" s="1">
        <f t="shared" si="1"/>
        <v>-0.32388225460893283</v>
      </c>
    </row>
    <row r="7" spans="1:10" x14ac:dyDescent="0.4">
      <c r="C7" s="1" t="s">
        <v>4</v>
      </c>
      <c r="D7" s="1">
        <v>102</v>
      </c>
      <c r="E7" s="1">
        <v>97.333330000000004</v>
      </c>
      <c r="I7" s="1">
        <f t="shared" si="0"/>
        <v>-0.6614606133748675</v>
      </c>
      <c r="J7" s="1">
        <f t="shared" si="1"/>
        <v>-0.85386585775601065</v>
      </c>
    </row>
    <row r="8" spans="1:10" x14ac:dyDescent="0.4">
      <c r="C8" s="1" t="s">
        <v>4</v>
      </c>
      <c r="D8" s="1">
        <v>121.33329999999999</v>
      </c>
      <c r="E8" s="1">
        <v>112.66670000000001</v>
      </c>
      <c r="I8" s="1">
        <f t="shared" si="0"/>
        <v>0.72521504955562288</v>
      </c>
      <c r="J8" s="1">
        <f t="shared" si="1"/>
        <v>0.16194228664794574</v>
      </c>
    </row>
    <row r="10" spans="1:10" x14ac:dyDescent="0.4">
      <c r="C10" s="1" t="s">
        <v>5</v>
      </c>
      <c r="D10" s="1">
        <v>105.33329999999999</v>
      </c>
      <c r="E10" s="1">
        <v>101.33329999999999</v>
      </c>
      <c r="G10" s="1">
        <f>AVERAGE(D10:D15)</f>
        <v>113.2222</v>
      </c>
      <c r="H10" s="1">
        <f>AVERAGE(E10:E15)</f>
        <v>114.16666666666667</v>
      </c>
      <c r="I10" s="1">
        <f>(D10-$G$10)/$G$11</f>
        <v>-0.94813672173814534</v>
      </c>
      <c r="J10" s="1">
        <f>(E10-$H$10)/$H$11</f>
        <v>-1.6043084866676287</v>
      </c>
    </row>
    <row r="11" spans="1:10" x14ac:dyDescent="0.4">
      <c r="C11" s="1" t="s">
        <v>5</v>
      </c>
      <c r="D11" s="1">
        <v>104</v>
      </c>
      <c r="E11" s="1">
        <v>108.66670000000001</v>
      </c>
      <c r="G11" s="1">
        <f>STDEV(D10:D15)</f>
        <v>8.3204244906134424</v>
      </c>
      <c r="H11" s="1">
        <f>STDEV(E10:E15)</f>
        <v>7.999313581718539</v>
      </c>
      <c r="I11" s="1">
        <f t="shared" ref="I11:I15" si="2">(D11-$G$10)/$G$11</f>
        <v>-1.1083809498426291</v>
      </c>
      <c r="J11" s="1">
        <f t="shared" ref="J11:J15" si="3">(E11-$H$10)/$H$11</f>
        <v>-0.68755482710868743</v>
      </c>
    </row>
    <row r="12" spans="1:10" x14ac:dyDescent="0.4">
      <c r="C12" s="1" t="s">
        <v>5</v>
      </c>
      <c r="D12" s="1">
        <v>119.33329999999999</v>
      </c>
      <c r="E12" s="1">
        <v>118.66670000000001</v>
      </c>
      <c r="I12" s="1">
        <f t="shared" si="2"/>
        <v>0.73446973852044883</v>
      </c>
      <c r="J12" s="1">
        <f t="shared" si="3"/>
        <v>0.56255243495112062</v>
      </c>
    </row>
    <row r="13" spans="1:10" x14ac:dyDescent="0.4">
      <c r="C13" s="1" t="s">
        <v>5</v>
      </c>
      <c r="D13" s="1">
        <v>110</v>
      </c>
      <c r="E13" s="1">
        <v>116</v>
      </c>
      <c r="I13" s="1">
        <f t="shared" si="2"/>
        <v>-0.3872638954460888</v>
      </c>
      <c r="J13" s="1">
        <f t="shared" si="3"/>
        <v>0.22918633137763089</v>
      </c>
    </row>
    <row r="14" spans="1:10" x14ac:dyDescent="0.4">
      <c r="C14" s="1" t="s">
        <v>5</v>
      </c>
      <c r="D14" s="1">
        <v>125.33329999999999</v>
      </c>
      <c r="E14" s="1">
        <v>124</v>
      </c>
      <c r="I14" s="1">
        <f t="shared" si="2"/>
        <v>1.455586792916989</v>
      </c>
      <c r="J14" s="1">
        <f t="shared" si="3"/>
        <v>1.2292721410254774</v>
      </c>
    </row>
    <row r="15" spans="1:10" x14ac:dyDescent="0.4">
      <c r="C15" s="1" t="s">
        <v>5</v>
      </c>
      <c r="D15" s="1">
        <v>115.33329999999999</v>
      </c>
      <c r="E15" s="1">
        <v>116.33329999999999</v>
      </c>
      <c r="I15" s="1">
        <f t="shared" si="2"/>
        <v>0.25372503558942189</v>
      </c>
      <c r="J15" s="1">
        <f t="shared" si="3"/>
        <v>0.27085240642208358</v>
      </c>
    </row>
    <row r="17" spans="3:10" x14ac:dyDescent="0.4">
      <c r="C17" s="1" t="s">
        <v>6</v>
      </c>
      <c r="D17" s="1">
        <v>103.33329999999999</v>
      </c>
      <c r="E17" s="1">
        <v>100.66670000000001</v>
      </c>
      <c r="G17" s="1">
        <f>AVERAGE(D17:D23)</f>
        <v>114.33332857142857</v>
      </c>
      <c r="H17" s="1">
        <f>AVERAGE(E17:E23)</f>
        <v>114.90476714285714</v>
      </c>
      <c r="I17" s="1">
        <f>(D17-$G$17)/$G$18</f>
        <v>-0.30480378789742979</v>
      </c>
      <c r="J17" s="1">
        <f>(E17-$H$17)/$H$18</f>
        <v>-0.53996979726589278</v>
      </c>
    </row>
    <row r="18" spans="3:10" x14ac:dyDescent="0.4">
      <c r="C18" s="1" t="s">
        <v>6</v>
      </c>
      <c r="D18" s="1">
        <v>108</v>
      </c>
      <c r="E18" s="1">
        <v>98.666669999999996</v>
      </c>
      <c r="G18" s="1">
        <f>STDEV(D17:D23)</f>
        <v>36.088884089361173</v>
      </c>
      <c r="H18" s="1">
        <f>STDEV(E17:E23)</f>
        <v>26.368265808478178</v>
      </c>
      <c r="I18" s="1">
        <f t="shared" ref="I18:I23" si="4">(D18-$G$17)/$G$18</f>
        <v>-0.17549250222717749</v>
      </c>
      <c r="J18" s="1">
        <f t="shared" ref="J18:J23" si="5">(E18-$H$17)/$H$18</f>
        <v>-0.61581968495008554</v>
      </c>
    </row>
    <row r="19" spans="3:10" x14ac:dyDescent="0.4">
      <c r="C19" s="1" t="s">
        <v>6</v>
      </c>
      <c r="D19" s="1">
        <v>195</v>
      </c>
      <c r="E19" s="1">
        <v>173</v>
      </c>
      <c r="I19" s="1">
        <f t="shared" si="4"/>
        <v>2.235222104092478</v>
      </c>
      <c r="J19" s="1">
        <f t="shared" si="5"/>
        <v>2.2032253952197163</v>
      </c>
    </row>
    <row r="20" spans="3:10" x14ac:dyDescent="0.4">
      <c r="C20" s="1" t="s">
        <v>6</v>
      </c>
      <c r="D20" s="1">
        <v>101.33329999999999</v>
      </c>
      <c r="E20" s="1">
        <v>104.66670000000001</v>
      </c>
      <c r="I20" s="1">
        <f t="shared" si="4"/>
        <v>-0.36022251447949089</v>
      </c>
      <c r="J20" s="1">
        <f t="shared" si="5"/>
        <v>-0.38827229736000657</v>
      </c>
    </row>
    <row r="21" spans="3:10" x14ac:dyDescent="0.4">
      <c r="C21" s="1" t="s">
        <v>6</v>
      </c>
      <c r="D21" s="1">
        <v>104.66670000000001</v>
      </c>
      <c r="E21" s="1">
        <v>113.33329999999999</v>
      </c>
      <c r="I21" s="1">
        <f t="shared" si="4"/>
        <v>-0.26785612288516941</v>
      </c>
      <c r="J21" s="1">
        <f t="shared" si="5"/>
        <v>-5.9596909188918738E-2</v>
      </c>
    </row>
    <row r="22" spans="3:10" x14ac:dyDescent="0.4">
      <c r="C22" s="1" t="s">
        <v>6</v>
      </c>
      <c r="D22" s="1">
        <v>99.333330000000004</v>
      </c>
      <c r="E22" s="1">
        <v>114</v>
      </c>
      <c r="I22" s="1">
        <f t="shared" si="4"/>
        <v>-0.41564040978065292</v>
      </c>
      <c r="J22" s="1">
        <f t="shared" si="5"/>
        <v>-3.4312728392104939E-2</v>
      </c>
    </row>
    <row r="23" spans="3:10" x14ac:dyDescent="0.4">
      <c r="C23" s="1" t="s">
        <v>6</v>
      </c>
      <c r="D23" s="1">
        <v>88.666669999999996</v>
      </c>
      <c r="E23" s="1">
        <v>100</v>
      </c>
      <c r="I23" s="1">
        <f t="shared" si="4"/>
        <v>-0.71120676682255679</v>
      </c>
      <c r="J23" s="1">
        <f t="shared" si="5"/>
        <v>-0.5652539780627065</v>
      </c>
    </row>
    <row r="25" spans="3:10" x14ac:dyDescent="0.4">
      <c r="C25" s="1" t="s">
        <v>7</v>
      </c>
      <c r="D25" s="1">
        <v>123.66670000000001</v>
      </c>
      <c r="E25" s="1">
        <v>115</v>
      </c>
      <c r="G25" s="1">
        <f>AVERAGE(D25:D29)</f>
        <v>114.13334</v>
      </c>
      <c r="H25" s="1">
        <f>AVERAGE(E25:E29)</f>
        <v>111.6</v>
      </c>
      <c r="I25" s="1">
        <f>(D25-$G$25)/$G$26</f>
        <v>0.44718779982705309</v>
      </c>
      <c r="J25" s="1">
        <f>(E25-$H$25)/$H$26</f>
        <v>0.23267938831899293</v>
      </c>
    </row>
    <row r="26" spans="3:10" x14ac:dyDescent="0.4">
      <c r="C26" s="1" t="s">
        <v>7</v>
      </c>
      <c r="D26" s="1">
        <v>147.33330000000001</v>
      </c>
      <c r="E26" s="1">
        <v>135.33330000000001</v>
      </c>
      <c r="G26" s="1">
        <f>STDEV(D25:D29)</f>
        <v>21.318470682086957</v>
      </c>
      <c r="H26" s="1">
        <f>STDEV(E25:E29)</f>
        <v>14.612381545969853</v>
      </c>
      <c r="I26" s="1">
        <f t="shared" ref="I26:I29" si="6">(D26-$G$25)/$G$26</f>
        <v>1.5573330983772948</v>
      </c>
      <c r="J26" s="1">
        <f t="shared" ref="J26:J29" si="7">(E26-$H$25)/$H$26</f>
        <v>1.6241910961150439</v>
      </c>
    </row>
    <row r="27" spans="3:10" x14ac:dyDescent="0.4">
      <c r="C27" s="1" t="s">
        <v>7</v>
      </c>
      <c r="D27" s="1">
        <v>100</v>
      </c>
      <c r="E27" s="1">
        <v>103.66670000000001</v>
      </c>
      <c r="I27" s="1">
        <f t="shared" si="6"/>
        <v>-0.66296218949118491</v>
      </c>
      <c r="J27" s="1">
        <f t="shared" si="7"/>
        <v>-0.54291629157384136</v>
      </c>
    </row>
    <row r="28" spans="3:10" x14ac:dyDescent="0.4">
      <c r="C28" s="1" t="s">
        <v>7</v>
      </c>
      <c r="D28" s="1">
        <v>97</v>
      </c>
      <c r="E28" s="1">
        <v>106</v>
      </c>
      <c r="I28" s="1">
        <f t="shared" si="6"/>
        <v>-0.80368522937231379</v>
      </c>
      <c r="J28" s="1">
        <f t="shared" si="7"/>
        <v>-0.3832366395842226</v>
      </c>
    </row>
    <row r="29" spans="3:10" x14ac:dyDescent="0.4">
      <c r="C29" s="1" t="s">
        <v>7</v>
      </c>
      <c r="D29" s="1">
        <v>102.66670000000001</v>
      </c>
      <c r="E29" s="1">
        <v>98</v>
      </c>
      <c r="I29" s="1">
        <f t="shared" si="6"/>
        <v>-0.53787347934084917</v>
      </c>
      <c r="J29" s="1">
        <f t="shared" si="7"/>
        <v>-0.93071755327596972</v>
      </c>
    </row>
    <row r="31" spans="3:10" x14ac:dyDescent="0.4">
      <c r="C31" s="1" t="s">
        <v>8</v>
      </c>
      <c r="D31" s="1">
        <v>114</v>
      </c>
      <c r="E31" s="1">
        <v>106.66670000000001</v>
      </c>
      <c r="G31" s="1">
        <f>AVERAGE(D31:D35)</f>
        <v>113.73334</v>
      </c>
      <c r="H31" s="1">
        <f>AVERAGE(E31:E35)</f>
        <v>106.40002</v>
      </c>
      <c r="I31" s="1">
        <f>(D31-$G$31)/$G$32</f>
        <v>1.7984119106178875E-2</v>
      </c>
      <c r="J31" s="1">
        <f>(E31-$H$31)/$H$32</f>
        <v>3.9192186905076254E-2</v>
      </c>
    </row>
    <row r="32" spans="3:10" x14ac:dyDescent="0.4">
      <c r="C32" s="1" t="s">
        <v>8</v>
      </c>
      <c r="D32" s="1">
        <v>109</v>
      </c>
      <c r="E32" s="1">
        <v>99</v>
      </c>
      <c r="G32" s="1">
        <f>STDEV(D31:D35)</f>
        <v>14.827526353981066</v>
      </c>
      <c r="H32" s="1">
        <f>STDEV(E31:E35)</f>
        <v>6.8044174377385174</v>
      </c>
      <c r="I32" s="1">
        <f t="shared" ref="I32:I35" si="8">(D32-$G$31)/$G$32</f>
        <v>-0.31922654440126058</v>
      </c>
      <c r="J32" s="1">
        <f t="shared" ref="J32:J35" si="9">(E32-$H$31)/$H$32</f>
        <v>-1.0875317494423786</v>
      </c>
    </row>
    <row r="33" spans="3:10" x14ac:dyDescent="0.4">
      <c r="C33" s="1" t="s">
        <v>8</v>
      </c>
      <c r="D33" s="1">
        <v>137</v>
      </c>
      <c r="E33" s="1">
        <v>116.66670000000001</v>
      </c>
      <c r="I33" s="1">
        <f t="shared" si="8"/>
        <v>1.5691531712404005</v>
      </c>
      <c r="J33" s="1">
        <f t="shared" si="9"/>
        <v>1.5088257141690282</v>
      </c>
    </row>
    <row r="34" spans="3:10" x14ac:dyDescent="0.4">
      <c r="C34" s="1" t="s">
        <v>8</v>
      </c>
      <c r="D34" s="1">
        <v>112.66670000000001</v>
      </c>
      <c r="E34" s="1">
        <v>108</v>
      </c>
      <c r="I34" s="1">
        <f t="shared" si="8"/>
        <v>-7.1936476424714541E-2</v>
      </c>
      <c r="J34" s="1">
        <f t="shared" si="9"/>
        <v>0.23513842509517813</v>
      </c>
    </row>
    <row r="35" spans="3:10" x14ac:dyDescent="0.4">
      <c r="C35" s="1" t="s">
        <v>8</v>
      </c>
      <c r="D35" s="1">
        <v>96</v>
      </c>
      <c r="E35" s="1">
        <v>101.66670000000001</v>
      </c>
      <c r="I35" s="1">
        <f t="shared" si="8"/>
        <v>-1.1959742695206033</v>
      </c>
      <c r="J35" s="1">
        <f t="shared" si="9"/>
        <v>-0.69562457672689981</v>
      </c>
    </row>
    <row r="37" spans="3:10" x14ac:dyDescent="0.4">
      <c r="C37" s="1" t="s">
        <v>9</v>
      </c>
      <c r="D37" s="1">
        <v>120.66670000000001</v>
      </c>
      <c r="E37" s="1">
        <v>120</v>
      </c>
      <c r="G37" s="1">
        <f>AVERAGE(D37:D42)</f>
        <v>107.88889500000001</v>
      </c>
      <c r="H37" s="1">
        <f>AVERAGE(E37:E42)</f>
        <v>109.94444500000002</v>
      </c>
      <c r="I37" s="1">
        <f>(D37-$G$37)/$G$38</f>
        <v>0.96005674665389384</v>
      </c>
      <c r="J37" s="1">
        <f>(E37-$H$37)/$H$38</f>
        <v>1.3361080058524295</v>
      </c>
    </row>
    <row r="38" spans="3:10" x14ac:dyDescent="0.4">
      <c r="C38" s="1" t="s">
        <v>9</v>
      </c>
      <c r="D38" s="1">
        <v>116</v>
      </c>
      <c r="E38" s="1">
        <v>111.33329999999999</v>
      </c>
      <c r="G38" s="1">
        <f>STDEV(D37:D42)</f>
        <v>13.309426806836946</v>
      </c>
      <c r="H38" s="1">
        <f>STDEV(E37:E42)</f>
        <v>7.5260046013904356</v>
      </c>
      <c r="I38" s="1">
        <f t="shared" ref="I38:I42" si="10">(D38-$G$37)/$G$38</f>
        <v>0.60942556863781583</v>
      </c>
      <c r="J38" s="1">
        <f t="shared" ref="J38:J42" si="11">(E38-$H$37)/$H$38</f>
        <v>0.18454081196593822</v>
      </c>
    </row>
    <row r="39" spans="3:10" x14ac:dyDescent="0.4">
      <c r="C39" s="1" t="s">
        <v>9</v>
      </c>
      <c r="D39" s="1">
        <v>82.666669999999996</v>
      </c>
      <c r="E39" s="1">
        <v>96.666669999999996</v>
      </c>
      <c r="I39" s="1">
        <f t="shared" si="10"/>
        <v>-1.8950647060956489</v>
      </c>
      <c r="J39" s="1">
        <f t="shared" si="11"/>
        <v>-1.7642528410820981</v>
      </c>
    </row>
    <row r="40" spans="3:10" x14ac:dyDescent="0.4">
      <c r="C40" s="1" t="s">
        <v>9</v>
      </c>
      <c r="D40" s="1">
        <v>109.33329999999999</v>
      </c>
      <c r="E40" s="1">
        <v>110.66670000000001</v>
      </c>
      <c r="I40" s="1">
        <f t="shared" si="10"/>
        <v>0.10852495911078679</v>
      </c>
      <c r="J40" s="1">
        <f t="shared" si="11"/>
        <v>9.5967919002674096E-2</v>
      </c>
    </row>
    <row r="41" spans="3:10" x14ac:dyDescent="0.4">
      <c r="C41" s="1" t="s">
        <v>9</v>
      </c>
      <c r="D41" s="1">
        <v>106.66670000000001</v>
      </c>
      <c r="E41" s="1">
        <v>111.66670000000001</v>
      </c>
      <c r="I41" s="1">
        <f t="shared" si="10"/>
        <v>-9.1829273922763341E-2</v>
      </c>
      <c r="J41" s="1">
        <f t="shared" si="11"/>
        <v>0.22884054571024337</v>
      </c>
    </row>
    <row r="42" spans="3:10" x14ac:dyDescent="0.4">
      <c r="C42" s="1" t="s">
        <v>9</v>
      </c>
      <c r="D42" s="1">
        <v>112</v>
      </c>
      <c r="E42" s="1">
        <v>109.33329999999999</v>
      </c>
      <c r="I42" s="1">
        <f t="shared" si="10"/>
        <v>0.30888670561591375</v>
      </c>
      <c r="J42" s="1">
        <f t="shared" si="11"/>
        <v>-8.1204441449200318E-2</v>
      </c>
    </row>
    <row r="44" spans="3:10" x14ac:dyDescent="0.4">
      <c r="C44" s="1" t="s">
        <v>10</v>
      </c>
      <c r="D44" s="1">
        <v>106</v>
      </c>
      <c r="E44" s="1">
        <v>103.33329999999999</v>
      </c>
      <c r="G44" s="1">
        <f>AVERAGE(D44:D50)</f>
        <v>119.1905</v>
      </c>
      <c r="H44" s="1">
        <f>AVERAGE(E44:E50)</f>
        <v>115.28571428571429</v>
      </c>
      <c r="I44" s="1">
        <f>(D44-$G$44)/$G$45</f>
        <v>-0.56513668072367329</v>
      </c>
      <c r="J44" s="1">
        <f>(E44-$H$44)/$H$45</f>
        <v>-0.65544603841124427</v>
      </c>
    </row>
    <row r="45" spans="3:10" x14ac:dyDescent="0.4">
      <c r="C45" s="1" t="s">
        <v>10</v>
      </c>
      <c r="D45" s="1">
        <v>110.66670000000001</v>
      </c>
      <c r="E45" s="1">
        <v>120.66670000000001</v>
      </c>
      <c r="G45" s="1">
        <f>STDEV(D44:D50)</f>
        <v>23.34037136486911</v>
      </c>
      <c r="H45" s="1">
        <f>STDEV(E44:E50)</f>
        <v>18.235542798742244</v>
      </c>
      <c r="I45" s="1">
        <f t="shared" ref="I45:I50" si="12">(D45-$G$44)/$G$45</f>
        <v>-0.36519556037697154</v>
      </c>
      <c r="J45" s="1">
        <f t="shared" ref="J45:J50" si="13">(E45-$H$44)/$H$45</f>
        <v>0.29508228922348589</v>
      </c>
    </row>
    <row r="46" spans="3:10" x14ac:dyDescent="0.4">
      <c r="C46" s="1" t="s">
        <v>10</v>
      </c>
      <c r="D46" s="1">
        <v>141.66669999999999</v>
      </c>
      <c r="E46" s="1">
        <v>146.66669999999999</v>
      </c>
      <c r="I46" s="1">
        <f t="shared" si="12"/>
        <v>0.96297525213459834</v>
      </c>
      <c r="J46" s="1">
        <f t="shared" si="13"/>
        <v>1.7208692968793959</v>
      </c>
    </row>
    <row r="47" spans="3:10" x14ac:dyDescent="0.4">
      <c r="C47" s="1" t="s">
        <v>10</v>
      </c>
      <c r="D47" s="1">
        <v>159.66669999999999</v>
      </c>
      <c r="E47" s="1">
        <v>130</v>
      </c>
      <c r="I47" s="1">
        <f t="shared" si="12"/>
        <v>1.7341712077864779</v>
      </c>
      <c r="J47" s="1">
        <f t="shared" si="13"/>
        <v>0.80690143839867456</v>
      </c>
    </row>
    <row r="48" spans="3:10" x14ac:dyDescent="0.4">
      <c r="C48" s="1" t="s">
        <v>10</v>
      </c>
      <c r="D48" s="1">
        <v>116.66670000000001</v>
      </c>
      <c r="E48" s="1">
        <v>107.33329999999999</v>
      </c>
      <c r="I48" s="1">
        <f t="shared" si="12"/>
        <v>-0.10813024182634497</v>
      </c>
      <c r="J48" s="1">
        <f t="shared" si="13"/>
        <v>-0.43609419107956565</v>
      </c>
    </row>
    <row r="49" spans="3:10" x14ac:dyDescent="0.4">
      <c r="C49" s="1" t="s">
        <v>10</v>
      </c>
      <c r="D49" s="1">
        <v>92</v>
      </c>
      <c r="E49" s="1">
        <v>94</v>
      </c>
      <c r="I49" s="1">
        <f t="shared" si="12"/>
        <v>-1.1649557573418019</v>
      </c>
      <c r="J49" s="1">
        <f t="shared" si="13"/>
        <v>-1.1672651875864328</v>
      </c>
    </row>
    <row r="50" spans="3:10" x14ac:dyDescent="0.4">
      <c r="C50" s="1" t="s">
        <v>10</v>
      </c>
      <c r="D50" s="1">
        <v>107.66670000000001</v>
      </c>
      <c r="E50" s="1">
        <v>105</v>
      </c>
      <c r="I50" s="1">
        <f t="shared" si="12"/>
        <v>-0.49372821965228481</v>
      </c>
      <c r="J50" s="1">
        <f t="shared" si="13"/>
        <v>-0.5640476074243167</v>
      </c>
    </row>
    <row r="52" spans="3:10" x14ac:dyDescent="0.4">
      <c r="C52" s="1" t="s">
        <v>11</v>
      </c>
      <c r="D52" s="1">
        <v>198</v>
      </c>
      <c r="E52" s="1">
        <v>146</v>
      </c>
      <c r="G52" s="1">
        <f>AVERAGE(D52:D57)</f>
        <v>125.88888333333334</v>
      </c>
      <c r="H52" s="1">
        <f>AVERAGE(E52:E57)</f>
        <v>115.55555500000001</v>
      </c>
      <c r="I52" s="1">
        <f>(D52-$G$52)/$G$53</f>
        <v>1.9626269125069216</v>
      </c>
      <c r="J52" s="1">
        <f>(E52-$H$52)/$H$53</f>
        <v>1.6210916094170285</v>
      </c>
    </row>
    <row r="53" spans="3:10" x14ac:dyDescent="0.4">
      <c r="C53" s="1" t="s">
        <v>11</v>
      </c>
      <c r="D53" s="1">
        <v>103</v>
      </c>
      <c r="E53" s="1">
        <v>93.333330000000004</v>
      </c>
      <c r="G53" s="1">
        <f>STDEV(D52:D57)</f>
        <v>36.74214197672292</v>
      </c>
      <c r="H53" s="1">
        <f>STDEV(E52:E57)</f>
        <v>18.780212557480521</v>
      </c>
      <c r="I53" s="1">
        <f t="shared" ref="I53:I57" si="14">(D53-$G$52)/$G$53</f>
        <v>-0.62295996101245343</v>
      </c>
      <c r="J53" s="1">
        <f t="shared" ref="J53:J57" si="15">(E53-$H$52)/$H$53</f>
        <v>-1.1832786733368716</v>
      </c>
    </row>
    <row r="54" spans="3:10" x14ac:dyDescent="0.4">
      <c r="C54" s="1" t="s">
        <v>11</v>
      </c>
      <c r="D54" s="1">
        <v>113</v>
      </c>
      <c r="E54" s="1">
        <v>110.33329999999999</v>
      </c>
      <c r="I54" s="1">
        <f t="shared" si="14"/>
        <v>-0.3507929216946245</v>
      </c>
      <c r="J54" s="1">
        <f t="shared" si="15"/>
        <v>-0.278072198811184</v>
      </c>
    </row>
    <row r="55" spans="3:10" x14ac:dyDescent="0.4">
      <c r="C55" s="1" t="s">
        <v>11</v>
      </c>
      <c r="D55" s="1">
        <v>129.33330000000001</v>
      </c>
      <c r="E55" s="1">
        <v>127</v>
      </c>
      <c r="I55" s="1">
        <f t="shared" si="14"/>
        <v>9.3745668634365259E-2</v>
      </c>
      <c r="J55" s="1">
        <f t="shared" si="15"/>
        <v>0.60938847017689612</v>
      </c>
    </row>
    <row r="56" spans="3:10" x14ac:dyDescent="0.4">
      <c r="C56" s="1" t="s">
        <v>11</v>
      </c>
      <c r="D56" s="1">
        <v>111.33329999999999</v>
      </c>
      <c r="E56" s="1">
        <v>114.66670000000001</v>
      </c>
      <c r="I56" s="1">
        <f t="shared" si="14"/>
        <v>-0.3961550021377272</v>
      </c>
      <c r="J56" s="1">
        <f t="shared" si="15"/>
        <v>-4.7329336517331295E-2</v>
      </c>
    </row>
    <row r="57" spans="3:10" x14ac:dyDescent="0.4">
      <c r="C57" s="1" t="s">
        <v>11</v>
      </c>
      <c r="D57" s="1">
        <v>100.66670000000001</v>
      </c>
      <c r="E57" s="1">
        <v>102</v>
      </c>
      <c r="I57" s="1">
        <f t="shared" si="14"/>
        <v>-0.68646469629648232</v>
      </c>
      <c r="J57" s="1">
        <f t="shared" si="15"/>
        <v>-0.72179987092854136</v>
      </c>
    </row>
  </sheetData>
  <mergeCells count="1">
    <mergeCell ref="D1:E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2026-02-10T09:30:24Z</dcterms:created>
  <dcterms:modified xsi:type="dcterms:W3CDTF">2026-02-10T09:31:30Z</dcterms:modified>
</cp:coreProperties>
</file>