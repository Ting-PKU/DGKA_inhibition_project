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19\"/>
    </mc:Choice>
  </mc:AlternateContent>
  <xr:revisionPtr revIDLastSave="0" documentId="8_{D2BCCEEB-5458-455E-9476-0656634E5341}" xr6:coauthVersionLast="47" xr6:coauthVersionMax="47" xr10:uidLastSave="{00000000-0000-0000-0000-000000000000}"/>
  <bookViews>
    <workbookView xWindow="-98" yWindow="-98" windowWidth="23236" windowHeight="13875" xr2:uid="{BC888859-1D2E-470E-92AB-A8B7CCEEC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0" i="1" l="1"/>
  <c r="J80" i="1"/>
  <c r="I80" i="1"/>
  <c r="H80" i="1"/>
  <c r="F80" i="1"/>
  <c r="E80" i="1"/>
  <c r="D80" i="1"/>
  <c r="C80" i="1"/>
  <c r="K79" i="1"/>
  <c r="J79" i="1"/>
  <c r="I79" i="1"/>
  <c r="H79" i="1"/>
  <c r="F79" i="1"/>
  <c r="E79" i="1"/>
  <c r="D79" i="1"/>
  <c r="C79" i="1"/>
  <c r="K73" i="1"/>
  <c r="J73" i="1"/>
  <c r="I73" i="1"/>
  <c r="H73" i="1"/>
  <c r="F73" i="1"/>
  <c r="E73" i="1"/>
  <c r="D73" i="1"/>
  <c r="C73" i="1"/>
  <c r="K72" i="1"/>
  <c r="J72" i="1"/>
  <c r="I72" i="1"/>
  <c r="H72" i="1"/>
  <c r="F72" i="1"/>
  <c r="E72" i="1"/>
  <c r="D72" i="1"/>
  <c r="C72" i="1"/>
  <c r="K66" i="1"/>
  <c r="J66" i="1"/>
  <c r="I66" i="1"/>
  <c r="H66" i="1"/>
  <c r="F66" i="1"/>
  <c r="E66" i="1"/>
  <c r="D66" i="1"/>
  <c r="C66" i="1"/>
  <c r="K65" i="1"/>
  <c r="J65" i="1"/>
  <c r="I65" i="1"/>
  <c r="H65" i="1"/>
  <c r="F65" i="1"/>
  <c r="E65" i="1"/>
  <c r="D65" i="1"/>
  <c r="C65" i="1"/>
  <c r="K59" i="1"/>
  <c r="J59" i="1"/>
  <c r="I59" i="1"/>
  <c r="H59" i="1"/>
  <c r="F59" i="1"/>
  <c r="E59" i="1"/>
  <c r="D59" i="1"/>
  <c r="C59" i="1"/>
  <c r="K58" i="1"/>
  <c r="J58" i="1"/>
  <c r="I58" i="1"/>
  <c r="H58" i="1"/>
  <c r="F58" i="1"/>
  <c r="E58" i="1"/>
  <c r="D58" i="1"/>
  <c r="C58" i="1"/>
  <c r="K49" i="1"/>
  <c r="J49" i="1"/>
  <c r="I49" i="1"/>
  <c r="H49" i="1"/>
  <c r="F49" i="1"/>
  <c r="E49" i="1"/>
  <c r="D49" i="1"/>
  <c r="C49" i="1"/>
  <c r="K48" i="1"/>
  <c r="J48" i="1"/>
  <c r="I48" i="1"/>
  <c r="H48" i="1"/>
  <c r="F48" i="1"/>
  <c r="E48" i="1"/>
  <c r="D48" i="1"/>
  <c r="C48" i="1"/>
  <c r="K40" i="1"/>
  <c r="J40" i="1"/>
  <c r="I40" i="1"/>
  <c r="H40" i="1"/>
  <c r="F40" i="1"/>
  <c r="E40" i="1"/>
  <c r="D40" i="1"/>
  <c r="C40" i="1"/>
  <c r="K39" i="1"/>
  <c r="J39" i="1"/>
  <c r="I39" i="1"/>
  <c r="H39" i="1"/>
  <c r="F39" i="1"/>
  <c r="E39" i="1"/>
  <c r="D39" i="1"/>
  <c r="C39" i="1"/>
  <c r="K32" i="1"/>
  <c r="J32" i="1"/>
  <c r="I32" i="1"/>
  <c r="H32" i="1"/>
  <c r="F32" i="1"/>
  <c r="E32" i="1"/>
  <c r="D32" i="1"/>
  <c r="C32" i="1"/>
  <c r="K31" i="1"/>
  <c r="J31" i="1"/>
  <c r="I31" i="1"/>
  <c r="H31" i="1"/>
  <c r="F31" i="1"/>
  <c r="E31" i="1"/>
  <c r="D31" i="1"/>
  <c r="C31" i="1"/>
  <c r="L22" i="1"/>
  <c r="K22" i="1"/>
  <c r="J22" i="1"/>
  <c r="I22" i="1"/>
  <c r="F22" i="1"/>
  <c r="E22" i="1"/>
  <c r="D22" i="1"/>
  <c r="C22" i="1"/>
  <c r="L21" i="1"/>
  <c r="K21" i="1"/>
  <c r="J21" i="1"/>
  <c r="I21" i="1"/>
  <c r="F21" i="1"/>
  <c r="E21" i="1"/>
  <c r="D21" i="1"/>
  <c r="C21" i="1"/>
  <c r="AB10" i="1"/>
  <c r="AA10" i="1"/>
  <c r="Z10" i="1"/>
  <c r="Y10" i="1"/>
  <c r="X10" i="1"/>
  <c r="W10" i="1"/>
  <c r="V10" i="1"/>
  <c r="U10" i="1"/>
  <c r="T10" i="1"/>
  <c r="S10" i="1"/>
  <c r="R10" i="1"/>
  <c r="Q10" i="1"/>
  <c r="N10" i="1"/>
  <c r="M10" i="1"/>
  <c r="L10" i="1"/>
  <c r="K10" i="1"/>
  <c r="J10" i="1"/>
  <c r="I10" i="1"/>
  <c r="H10" i="1"/>
  <c r="G10" i="1"/>
  <c r="F10" i="1"/>
  <c r="E10" i="1"/>
  <c r="D10" i="1"/>
  <c r="C10" i="1"/>
  <c r="AB9" i="1"/>
  <c r="AA9" i="1"/>
  <c r="Z9" i="1"/>
  <c r="Y9" i="1"/>
  <c r="X9" i="1"/>
  <c r="W9" i="1"/>
  <c r="V9" i="1"/>
  <c r="U9" i="1"/>
  <c r="T9" i="1"/>
  <c r="S9" i="1"/>
  <c r="R9" i="1"/>
  <c r="Q9" i="1"/>
  <c r="N9" i="1"/>
  <c r="M9" i="1"/>
  <c r="L9" i="1"/>
  <c r="K9" i="1"/>
  <c r="J9" i="1"/>
  <c r="I9" i="1"/>
  <c r="H9" i="1"/>
  <c r="G9" i="1"/>
  <c r="F9" i="1"/>
  <c r="E9" i="1"/>
  <c r="D9" i="1"/>
  <c r="C9" i="1"/>
</calcChain>
</file>

<file path=xl/sharedStrings.xml><?xml version="1.0" encoding="utf-8"?>
<sst xmlns="http://schemas.openxmlformats.org/spreadsheetml/2006/main" count="127" uniqueCount="23">
  <si>
    <t>MC38</t>
  </si>
  <si>
    <t>MFC</t>
  </si>
  <si>
    <t>Figure S19B</t>
    <phoneticPr fontId="4" type="noConversion"/>
  </si>
  <si>
    <t>Cont</t>
  </si>
  <si>
    <t>Anti-CTLA4 antibody</t>
  </si>
  <si>
    <t>R59022 25 mg/kg</t>
    <phoneticPr fontId="4" type="noConversion"/>
  </si>
  <si>
    <t>R59022 25 mg/kg+Anti-CTLA4 antibody</t>
    <phoneticPr fontId="4" type="noConversion"/>
  </si>
  <si>
    <t>week</t>
  </si>
  <si>
    <t>Mean</t>
  </si>
  <si>
    <t>SD</t>
  </si>
  <si>
    <t>Figure S19C</t>
    <phoneticPr fontId="4" type="noConversion"/>
  </si>
  <si>
    <t>NF-kB</t>
    <phoneticPr fontId="4" type="noConversion"/>
  </si>
  <si>
    <t>CD31</t>
    <phoneticPr fontId="4" type="noConversion"/>
  </si>
  <si>
    <t>LYVE1</t>
  </si>
  <si>
    <t>Figure S19D</t>
    <phoneticPr fontId="4" type="noConversion"/>
  </si>
  <si>
    <t>c-Myc</t>
    <phoneticPr fontId="4" type="noConversion"/>
  </si>
  <si>
    <t>Ki67</t>
  </si>
  <si>
    <t>HMGB1</t>
    <phoneticPr fontId="4" type="noConversion"/>
  </si>
  <si>
    <t>MMP1</t>
  </si>
  <si>
    <t>MMP2</t>
  </si>
  <si>
    <t>MMP7</t>
  </si>
  <si>
    <t>VEGFA</t>
  </si>
  <si>
    <t>VEGFC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</si>
</sst>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name val="Times New Roman"/>
      <family val="1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20651875362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0901-CE9E-4012-A144-2810FE25AB3E}">
  <dimension ref="A1:AB80"/>
  <sheetViews>
    <sheetView tabSelected="1" zoomScale="40" zoomScaleNormal="40" workbookViewId="0">
      <selection activeCell="AF23" sqref="AF23"/>
    </sheetView>
  </sheetViews>
  <sheetFormatPr defaultRowHeight="17.25" x14ac:dyDescent="0.4"/>
  <cols>
    <col min="1" max="1" width="15.265625" style="1" customWidth="1"/>
    <col min="2" max="2" width="11.59765625" style="3" customWidth="1"/>
    <col min="3" max="3" width="9.06640625" style="3"/>
    <col min="4" max="4" width="19.06640625" style="3" customWidth="1"/>
    <col min="5" max="5" width="18.796875" style="3" customWidth="1"/>
    <col min="6" max="6" width="26.796875" style="3" customWidth="1"/>
    <col min="7" max="8" width="9.06640625" style="3"/>
    <col min="9" max="9" width="19.33203125" style="3" customWidth="1"/>
    <col min="10" max="10" width="18.33203125" style="3" customWidth="1"/>
    <col min="11" max="11" width="28.59765625" style="3" customWidth="1"/>
    <col min="12" max="12" width="25" style="3" customWidth="1"/>
    <col min="13" max="28" width="9.06640625" style="3"/>
  </cols>
  <sheetData>
    <row r="1" spans="1:28" x14ac:dyDescent="0.4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4">
      <c r="A2" s="1" t="s">
        <v>2</v>
      </c>
      <c r="C2" s="4" t="s">
        <v>3</v>
      </c>
      <c r="D2" s="4"/>
      <c r="E2" s="4"/>
      <c r="F2" s="4" t="s">
        <v>4</v>
      </c>
      <c r="G2" s="4"/>
      <c r="H2" s="4"/>
      <c r="I2" s="4" t="s">
        <v>5</v>
      </c>
      <c r="J2" s="4"/>
      <c r="K2" s="4"/>
      <c r="L2" s="4" t="s">
        <v>6</v>
      </c>
      <c r="M2" s="4"/>
      <c r="N2" s="4"/>
      <c r="Q2" s="4" t="s">
        <v>3</v>
      </c>
      <c r="R2" s="4"/>
      <c r="S2" s="4"/>
      <c r="T2" s="4" t="s">
        <v>4</v>
      </c>
      <c r="U2" s="4"/>
      <c r="V2" s="4"/>
      <c r="W2" s="4" t="s">
        <v>5</v>
      </c>
      <c r="X2" s="4"/>
      <c r="Y2" s="4"/>
      <c r="Z2" s="4" t="s">
        <v>6</v>
      </c>
      <c r="AA2" s="4"/>
      <c r="AB2" s="4"/>
    </row>
    <row r="3" spans="1:28" x14ac:dyDescent="0.4">
      <c r="B3" s="3" t="s">
        <v>7</v>
      </c>
      <c r="C3" s="3">
        <v>0</v>
      </c>
      <c r="D3" s="3">
        <v>1</v>
      </c>
      <c r="E3" s="3">
        <v>2</v>
      </c>
      <c r="F3" s="3">
        <v>0</v>
      </c>
      <c r="G3" s="3">
        <v>1</v>
      </c>
      <c r="H3" s="3">
        <v>2</v>
      </c>
      <c r="I3" s="3">
        <v>0</v>
      </c>
      <c r="J3" s="3">
        <v>1</v>
      </c>
      <c r="K3" s="3">
        <v>2</v>
      </c>
      <c r="L3" s="3">
        <v>0</v>
      </c>
      <c r="M3" s="3">
        <v>1</v>
      </c>
      <c r="N3" s="3">
        <v>2</v>
      </c>
      <c r="P3" s="3" t="s">
        <v>7</v>
      </c>
      <c r="Q3" s="3">
        <v>0</v>
      </c>
      <c r="R3" s="3">
        <v>1</v>
      </c>
      <c r="S3" s="3">
        <v>2</v>
      </c>
      <c r="T3" s="3">
        <v>0</v>
      </c>
      <c r="U3" s="3">
        <v>1</v>
      </c>
      <c r="V3" s="3">
        <v>2</v>
      </c>
      <c r="W3" s="3">
        <v>0</v>
      </c>
      <c r="X3" s="3">
        <v>1</v>
      </c>
      <c r="Y3" s="3">
        <v>2</v>
      </c>
      <c r="Z3" s="3">
        <v>0</v>
      </c>
      <c r="AA3" s="3">
        <v>1</v>
      </c>
      <c r="AB3" s="3">
        <v>2</v>
      </c>
    </row>
    <row r="4" spans="1:28" x14ac:dyDescent="0.4">
      <c r="C4" s="3">
        <v>69.320160000000001</v>
      </c>
      <c r="D4" s="3">
        <v>557.6875</v>
      </c>
      <c r="E4" s="3">
        <v>887.11170000000004</v>
      </c>
      <c r="F4" s="3">
        <v>136.44380000000001</v>
      </c>
      <c r="G4" s="3">
        <v>279.87909999999999</v>
      </c>
      <c r="H4" s="3">
        <v>491.27936</v>
      </c>
      <c r="I4" s="3">
        <v>84.24</v>
      </c>
      <c r="J4" s="3">
        <v>260.48880000000003</v>
      </c>
      <c r="K4" s="3">
        <v>503.36</v>
      </c>
      <c r="L4" s="3">
        <v>77.875200000000007</v>
      </c>
      <c r="M4" s="3">
        <v>207.8835</v>
      </c>
      <c r="N4" s="3">
        <v>267.37779999999998</v>
      </c>
      <c r="Q4" s="3">
        <v>170.71809999999999</v>
      </c>
      <c r="R4" s="3">
        <v>270.51440000000002</v>
      </c>
      <c r="S4" s="3">
        <v>725.53729999999996</v>
      </c>
      <c r="T4" s="3">
        <v>108.53700000000001</v>
      </c>
      <c r="U4" s="3">
        <v>377.9194</v>
      </c>
      <c r="V4" s="3">
        <v>776.35583999999994</v>
      </c>
      <c r="W4" s="3">
        <v>100.1</v>
      </c>
      <c r="X4" s="3">
        <v>406.7149</v>
      </c>
      <c r="Y4" s="3">
        <v>609.27779999999996</v>
      </c>
      <c r="Z4" s="3">
        <v>273.32029999999997</v>
      </c>
      <c r="AA4" s="3">
        <v>503.1936</v>
      </c>
      <c r="AB4" s="3">
        <v>402.09519999999998</v>
      </c>
    </row>
    <row r="5" spans="1:28" x14ac:dyDescent="0.4">
      <c r="C5" s="3">
        <v>113.256</v>
      </c>
      <c r="D5" s="3">
        <v>370.1506</v>
      </c>
      <c r="E5" s="3">
        <v>791.154</v>
      </c>
      <c r="F5" s="3">
        <v>43.130879999999998</v>
      </c>
      <c r="G5" s="3">
        <v>368.4658</v>
      </c>
      <c r="H5" s="3">
        <v>562.65819999999997</v>
      </c>
      <c r="I5" s="3">
        <v>90.562160000000006</v>
      </c>
      <c r="J5" s="3">
        <v>220.83519999999999</v>
      </c>
      <c r="K5" s="3">
        <v>386.048</v>
      </c>
      <c r="L5" s="3">
        <v>163.08860000000001</v>
      </c>
      <c r="M5" s="3">
        <v>262.0883</v>
      </c>
      <c r="N5" s="3">
        <v>293.58780000000002</v>
      </c>
      <c r="Q5" s="3">
        <v>105.39100000000001</v>
      </c>
      <c r="R5" s="3">
        <v>477.79469999999998</v>
      </c>
      <c r="S5" s="3">
        <v>883.47119999999995</v>
      </c>
      <c r="T5" s="3">
        <v>96.028919999999999</v>
      </c>
      <c r="U5" s="3">
        <v>337.76029999999997</v>
      </c>
      <c r="V5" s="3">
        <v>719.54064000000005</v>
      </c>
      <c r="W5" s="3">
        <v>73.082880000000003</v>
      </c>
      <c r="X5" s="3">
        <v>217.45150000000001</v>
      </c>
      <c r="Y5" s="3">
        <v>404.79759999999999</v>
      </c>
      <c r="Z5" s="3">
        <v>66.443520000000007</v>
      </c>
      <c r="AA5" s="3">
        <v>175.77610000000001</v>
      </c>
      <c r="AB5" s="3">
        <v>141.01779999999999</v>
      </c>
    </row>
    <row r="6" spans="1:28" x14ac:dyDescent="0.4">
      <c r="C6" s="3">
        <v>81.153800000000004</v>
      </c>
      <c r="D6" s="3">
        <v>365.36239999999998</v>
      </c>
      <c r="E6" s="3">
        <v>905.62159999999994</v>
      </c>
      <c r="F6" s="3">
        <v>76.869</v>
      </c>
      <c r="G6" s="3">
        <v>396.46460000000002</v>
      </c>
      <c r="H6" s="3">
        <v>613.6</v>
      </c>
      <c r="I6" s="3">
        <v>97.525999999999996</v>
      </c>
      <c r="J6" s="3">
        <v>225.29050000000001</v>
      </c>
      <c r="K6" s="3">
        <v>544.76499999999999</v>
      </c>
      <c r="L6" s="3">
        <v>59.978879999999997</v>
      </c>
      <c r="M6" s="3">
        <v>193.49199999999999</v>
      </c>
      <c r="N6" s="3">
        <v>285.4212</v>
      </c>
      <c r="Q6" s="3">
        <v>40.205880000000001</v>
      </c>
      <c r="R6" s="3">
        <v>502.15100000000001</v>
      </c>
      <c r="S6" s="3">
        <v>936</v>
      </c>
      <c r="T6" s="3">
        <v>96.828159999999997</v>
      </c>
      <c r="U6" s="3">
        <v>479.19869999999997</v>
      </c>
      <c r="V6" s="3">
        <v>687.96</v>
      </c>
      <c r="W6" s="3">
        <v>162.1901</v>
      </c>
      <c r="X6" s="3">
        <v>398.59870000000001</v>
      </c>
      <c r="Y6" s="3">
        <v>538.42880000000002</v>
      </c>
      <c r="Z6" s="3">
        <v>77.796679999999995</v>
      </c>
      <c r="AA6" s="3">
        <v>146.28899999999999</v>
      </c>
      <c r="AB6" s="3">
        <v>183.45599999999999</v>
      </c>
    </row>
    <row r="7" spans="1:28" x14ac:dyDescent="0.4">
      <c r="C7" s="3">
        <v>120.7003</v>
      </c>
      <c r="D7" s="3">
        <v>462.3091</v>
      </c>
      <c r="E7" s="3">
        <v>1326.78</v>
      </c>
      <c r="F7" s="3">
        <v>114.96420000000001</v>
      </c>
      <c r="G7" s="3">
        <v>564.33100000000002</v>
      </c>
      <c r="H7" s="3">
        <v>765.39631999999995</v>
      </c>
      <c r="I7" s="3">
        <v>71.97372</v>
      </c>
      <c r="J7" s="3">
        <v>247.66139999999999</v>
      </c>
      <c r="K7" s="3">
        <v>482.28539999999998</v>
      </c>
      <c r="L7" s="3">
        <v>124.15779999999999</v>
      </c>
      <c r="M7" s="3">
        <v>152.0532</v>
      </c>
      <c r="N7" s="3">
        <v>160.93379999999999</v>
      </c>
      <c r="Q7" s="3">
        <v>94.887519999999995</v>
      </c>
      <c r="R7" s="3">
        <v>492.9434</v>
      </c>
      <c r="S7" s="3">
        <v>871.34109999999998</v>
      </c>
      <c r="T7" s="3">
        <v>115.3937</v>
      </c>
      <c r="U7" s="3">
        <v>272.6069</v>
      </c>
      <c r="V7" s="3">
        <v>429.28703999999999</v>
      </c>
      <c r="W7" s="3">
        <v>68.796000000000006</v>
      </c>
      <c r="X7" s="3">
        <v>174.096</v>
      </c>
      <c r="Y7" s="3">
        <v>336.39420000000001</v>
      </c>
      <c r="Z7" s="3">
        <v>68.219840000000005</v>
      </c>
      <c r="AA7" s="3">
        <v>110.5</v>
      </c>
      <c r="AB7" s="3">
        <v>174.14279999999999</v>
      </c>
    </row>
    <row r="8" spans="1:28" x14ac:dyDescent="0.4">
      <c r="C8" s="3">
        <v>98.425600000000003</v>
      </c>
      <c r="D8" s="3">
        <v>447.54939999999999</v>
      </c>
      <c r="E8" s="3">
        <v>811.51199999999994</v>
      </c>
      <c r="F8" s="3">
        <v>84.724639999999994</v>
      </c>
      <c r="G8" s="3">
        <v>384.59199999999998</v>
      </c>
      <c r="H8" s="3">
        <v>658.04543999999999</v>
      </c>
      <c r="I8" s="3">
        <v>101.4</v>
      </c>
      <c r="J8" s="3">
        <v>208.73220000000001</v>
      </c>
      <c r="K8" s="3">
        <v>379.7217</v>
      </c>
      <c r="L8" s="3">
        <v>85.770880000000005</v>
      </c>
      <c r="M8" s="3">
        <v>115.2403</v>
      </c>
      <c r="N8" s="3">
        <v>175.9014</v>
      </c>
      <c r="Q8" s="3">
        <v>113.7032</v>
      </c>
      <c r="R8" s="3">
        <v>302.14179999999999</v>
      </c>
      <c r="S8" s="3">
        <v>1115.712</v>
      </c>
      <c r="T8" s="3">
        <v>78.110240000000005</v>
      </c>
      <c r="U8" s="3">
        <v>316.16000000000003</v>
      </c>
      <c r="V8" s="3">
        <v>599.04</v>
      </c>
      <c r="W8" s="3">
        <v>74.995440000000002</v>
      </c>
      <c r="X8" s="3">
        <v>183.81739999999999</v>
      </c>
      <c r="Y8" s="3">
        <v>285.72390000000001</v>
      </c>
      <c r="Z8" s="3">
        <v>50.450400000000002</v>
      </c>
      <c r="AA8" s="3">
        <v>88.583039999999997</v>
      </c>
      <c r="AB8" s="3">
        <v>151.91489999999999</v>
      </c>
    </row>
    <row r="9" spans="1:28" x14ac:dyDescent="0.4">
      <c r="B9" s="5" t="s">
        <v>8</v>
      </c>
      <c r="C9" s="5">
        <f>AVERAGE(C4:C8)</f>
        <v>96.571172000000004</v>
      </c>
      <c r="D9" s="5">
        <f t="shared" ref="D9:N9" si="0">AVERAGE(D4:D8)</f>
        <v>440.61179999999996</v>
      </c>
      <c r="E9" s="5">
        <f t="shared" si="0"/>
        <v>944.43585999999993</v>
      </c>
      <c r="F9" s="5">
        <f t="shared" si="0"/>
        <v>91.226504000000006</v>
      </c>
      <c r="G9" s="5">
        <f t="shared" si="0"/>
        <v>398.74650000000003</v>
      </c>
      <c r="H9" s="5">
        <f t="shared" si="0"/>
        <v>618.19586399999991</v>
      </c>
      <c r="I9" s="5">
        <f t="shared" si="0"/>
        <v>89.140376000000018</v>
      </c>
      <c r="J9" s="5">
        <f t="shared" si="0"/>
        <v>232.60162</v>
      </c>
      <c r="K9" s="5">
        <f t="shared" si="0"/>
        <v>459.23602</v>
      </c>
      <c r="L9" s="5">
        <f t="shared" si="0"/>
        <v>102.174272</v>
      </c>
      <c r="M9" s="5">
        <f t="shared" si="0"/>
        <v>186.15146000000001</v>
      </c>
      <c r="N9" s="5">
        <f t="shared" si="0"/>
        <v>236.64439999999999</v>
      </c>
      <c r="P9" s="5" t="s">
        <v>8</v>
      </c>
      <c r="Q9" s="5">
        <f>AVERAGE(Q4:Q8)</f>
        <v>104.98114000000001</v>
      </c>
      <c r="R9" s="5">
        <f t="shared" ref="R9:AB9" si="1">AVERAGE(R4:R8)</f>
        <v>409.10905999999994</v>
      </c>
      <c r="S9" s="5">
        <f t="shared" si="1"/>
        <v>906.41232000000002</v>
      </c>
      <c r="T9" s="5">
        <f t="shared" si="1"/>
        <v>98.979603999999995</v>
      </c>
      <c r="U9" s="5">
        <f t="shared" si="1"/>
        <v>356.72906</v>
      </c>
      <c r="V9" s="5">
        <f t="shared" si="1"/>
        <v>642.43670399999996</v>
      </c>
      <c r="W9" s="5">
        <f t="shared" si="1"/>
        <v>95.832883999999993</v>
      </c>
      <c r="X9" s="5">
        <f t="shared" si="1"/>
        <v>276.13569999999999</v>
      </c>
      <c r="Y9" s="5">
        <f t="shared" si="1"/>
        <v>434.92446000000001</v>
      </c>
      <c r="Z9" s="5">
        <f t="shared" si="1"/>
        <v>107.24614799999999</v>
      </c>
      <c r="AA9" s="5">
        <f t="shared" si="1"/>
        <v>204.86834800000003</v>
      </c>
      <c r="AB9" s="5">
        <f t="shared" si="1"/>
        <v>210.52533999999997</v>
      </c>
    </row>
    <row r="10" spans="1:28" x14ac:dyDescent="0.4">
      <c r="B10" s="5" t="s">
        <v>9</v>
      </c>
      <c r="C10" s="5">
        <f>STDEV(C4:C8)</f>
        <v>21.472949384328182</v>
      </c>
      <c r="D10" s="5">
        <f t="shared" ref="D10:N10" si="2">STDEV(D4:D8)</f>
        <v>78.82397407727602</v>
      </c>
      <c r="E10" s="5">
        <f t="shared" si="2"/>
        <v>219.17101122967441</v>
      </c>
      <c r="F10" s="5">
        <f t="shared" si="2"/>
        <v>35.95025477473672</v>
      </c>
      <c r="G10" s="5">
        <f t="shared" si="2"/>
        <v>103.28378763552392</v>
      </c>
      <c r="H10" s="5">
        <f t="shared" si="2"/>
        <v>103.04042414272864</v>
      </c>
      <c r="I10" s="5">
        <f t="shared" si="2"/>
        <v>11.633424940630185</v>
      </c>
      <c r="J10" s="5">
        <f t="shared" si="2"/>
        <v>21.012746776706756</v>
      </c>
      <c r="K10" s="5">
        <f t="shared" si="2"/>
        <v>73.267351709079733</v>
      </c>
      <c r="L10" s="5">
        <f t="shared" si="2"/>
        <v>41.333394895105357</v>
      </c>
      <c r="M10" s="5">
        <f t="shared" si="2"/>
        <v>55.865133819789513</v>
      </c>
      <c r="N10" s="5">
        <f t="shared" si="2"/>
        <v>63.22198173641825</v>
      </c>
      <c r="P10" s="5" t="s">
        <v>9</v>
      </c>
      <c r="Q10" s="5">
        <f>STDEV(Q4:Q8)</f>
        <v>46.624311519519487</v>
      </c>
      <c r="R10" s="5">
        <f t="shared" ref="R10:AB10" si="3">STDEV(R4:R8)</f>
        <v>112.97476576301476</v>
      </c>
      <c r="S10" s="5">
        <f t="shared" si="3"/>
        <v>140.67146581221425</v>
      </c>
      <c r="T10" s="5">
        <f t="shared" si="3"/>
        <v>14.227016262339824</v>
      </c>
      <c r="U10" s="5">
        <f t="shared" si="3"/>
        <v>78.310349761912178</v>
      </c>
      <c r="V10" s="5">
        <f t="shared" si="3"/>
        <v>135.34010454569494</v>
      </c>
      <c r="W10" s="5">
        <f t="shared" si="3"/>
        <v>39.064828314964892</v>
      </c>
      <c r="X10" s="5">
        <f t="shared" si="3"/>
        <v>116.64767256814436</v>
      </c>
      <c r="Y10" s="5">
        <f t="shared" si="3"/>
        <v>136.00448751919168</v>
      </c>
      <c r="Z10" s="5">
        <f t="shared" si="3"/>
        <v>93.356252183100821</v>
      </c>
      <c r="AA10" s="5">
        <f t="shared" si="3"/>
        <v>170.076095357024</v>
      </c>
      <c r="AB10" s="5">
        <f t="shared" si="3"/>
        <v>108.42270454009171</v>
      </c>
    </row>
    <row r="14" spans="1:28" x14ac:dyDescent="0.4">
      <c r="C14" s="2" t="s">
        <v>0</v>
      </c>
      <c r="D14" s="2"/>
      <c r="E14" s="2"/>
      <c r="F14" s="2"/>
      <c r="I14" s="2" t="s">
        <v>1</v>
      </c>
      <c r="J14" s="2"/>
      <c r="K14" s="2"/>
      <c r="L14" s="2"/>
    </row>
    <row r="15" spans="1:28" x14ac:dyDescent="0.4">
      <c r="C15" s="3" t="s">
        <v>3</v>
      </c>
      <c r="D15" s="3" t="s">
        <v>4</v>
      </c>
      <c r="E15" s="3" t="s">
        <v>5</v>
      </c>
      <c r="F15" s="3" t="s">
        <v>6</v>
      </c>
      <c r="I15" s="3" t="s">
        <v>3</v>
      </c>
      <c r="J15" s="3" t="s">
        <v>4</v>
      </c>
      <c r="K15" s="3" t="s">
        <v>5</v>
      </c>
      <c r="L15" s="3" t="s">
        <v>6</v>
      </c>
    </row>
    <row r="16" spans="1:28" x14ac:dyDescent="0.4">
      <c r="C16" s="3">
        <v>887.11170000000004</v>
      </c>
      <c r="D16" s="3">
        <v>491.27936</v>
      </c>
      <c r="E16" s="3">
        <v>503.36</v>
      </c>
      <c r="F16" s="3">
        <v>267.37779999999998</v>
      </c>
      <c r="I16" s="3">
        <v>725.53729999999996</v>
      </c>
      <c r="J16" s="3">
        <v>776.35583999999994</v>
      </c>
      <c r="K16" s="3">
        <v>609.27779999999996</v>
      </c>
      <c r="L16" s="3">
        <v>402.09519999999998</v>
      </c>
    </row>
    <row r="17" spans="1:12" x14ac:dyDescent="0.4">
      <c r="C17" s="3">
        <v>791.154</v>
      </c>
      <c r="D17" s="3">
        <v>562.65819999999997</v>
      </c>
      <c r="E17" s="3">
        <v>386.048</v>
      </c>
      <c r="F17" s="3">
        <v>293.58780000000002</v>
      </c>
      <c r="I17" s="3">
        <v>883.47119999999995</v>
      </c>
      <c r="J17" s="3">
        <v>719.54064000000005</v>
      </c>
      <c r="K17" s="3">
        <v>404.79759999999999</v>
      </c>
      <c r="L17" s="3">
        <v>141.01779999999999</v>
      </c>
    </row>
    <row r="18" spans="1:12" x14ac:dyDescent="0.4">
      <c r="C18" s="3">
        <v>905.62159999999994</v>
      </c>
      <c r="D18" s="3">
        <v>613.6</v>
      </c>
      <c r="E18" s="3">
        <v>544.76499999999999</v>
      </c>
      <c r="F18" s="3">
        <v>285.4212</v>
      </c>
      <c r="I18" s="3">
        <v>936</v>
      </c>
      <c r="J18" s="3">
        <v>687.96</v>
      </c>
      <c r="K18" s="3">
        <v>538.42880000000002</v>
      </c>
      <c r="L18" s="3">
        <v>183.45599999999999</v>
      </c>
    </row>
    <row r="19" spans="1:12" x14ac:dyDescent="0.4">
      <c r="C19" s="3">
        <v>1326.78</v>
      </c>
      <c r="D19" s="3">
        <v>765.39631999999995</v>
      </c>
      <c r="E19" s="3">
        <v>482.28539999999998</v>
      </c>
      <c r="F19" s="3">
        <v>160.93379999999999</v>
      </c>
      <c r="I19" s="3">
        <v>871.34109999999998</v>
      </c>
      <c r="J19" s="3">
        <v>429.28703999999999</v>
      </c>
      <c r="K19" s="3">
        <v>336.39420000000001</v>
      </c>
      <c r="L19" s="3">
        <v>174.14279999999999</v>
      </c>
    </row>
    <row r="20" spans="1:12" x14ac:dyDescent="0.4">
      <c r="C20" s="3">
        <v>811.51199999999994</v>
      </c>
      <c r="D20" s="3">
        <v>658.04543999999999</v>
      </c>
      <c r="E20" s="3">
        <v>379.7217</v>
      </c>
      <c r="F20" s="3">
        <v>175.9014</v>
      </c>
      <c r="I20" s="3">
        <v>1115.712</v>
      </c>
      <c r="J20" s="3">
        <v>599.04</v>
      </c>
      <c r="K20" s="3">
        <v>285.72390000000001</v>
      </c>
      <c r="L20" s="3">
        <v>151.91489999999999</v>
      </c>
    </row>
    <row r="21" spans="1:12" x14ac:dyDescent="0.4">
      <c r="B21" s="5" t="s">
        <v>8</v>
      </c>
      <c r="C21" s="5">
        <f>AVERAGE(C16:C20)</f>
        <v>944.43585999999993</v>
      </c>
      <c r="D21" s="5">
        <f t="shared" ref="D21:F21" si="4">AVERAGE(D16:D20)</f>
        <v>618.19586399999991</v>
      </c>
      <c r="E21" s="5">
        <f t="shared" si="4"/>
        <v>459.23602</v>
      </c>
      <c r="F21" s="5">
        <f t="shared" si="4"/>
        <v>236.64439999999999</v>
      </c>
      <c r="G21" s="5"/>
      <c r="H21" s="5"/>
      <c r="I21" s="5">
        <f t="shared" ref="I21:L21" si="5">AVERAGE(I16:I20)</f>
        <v>906.41232000000002</v>
      </c>
      <c r="J21" s="5">
        <f t="shared" si="5"/>
        <v>642.43670399999996</v>
      </c>
      <c r="K21" s="5">
        <f t="shared" si="5"/>
        <v>434.92446000000001</v>
      </c>
      <c r="L21" s="5">
        <f t="shared" si="5"/>
        <v>210.52533999999997</v>
      </c>
    </row>
    <row r="22" spans="1:12" x14ac:dyDescent="0.4">
      <c r="B22" s="5" t="s">
        <v>9</v>
      </c>
      <c r="C22" s="5">
        <f>STDEV(C16:C20)</f>
        <v>219.17101122967441</v>
      </c>
      <c r="D22" s="5">
        <f t="shared" ref="D22:L22" si="6">STDEV(D16:D20)</f>
        <v>103.04042414272864</v>
      </c>
      <c r="E22" s="5">
        <f t="shared" si="6"/>
        <v>73.267351709079733</v>
      </c>
      <c r="F22" s="5">
        <f t="shared" si="6"/>
        <v>63.22198173641825</v>
      </c>
      <c r="G22" s="5"/>
      <c r="H22" s="5"/>
      <c r="I22" s="5">
        <f t="shared" si="6"/>
        <v>140.67146581221425</v>
      </c>
      <c r="J22" s="5">
        <f t="shared" si="6"/>
        <v>135.34010454569494</v>
      </c>
      <c r="K22" s="5">
        <f t="shared" si="6"/>
        <v>136.00448751919168</v>
      </c>
      <c r="L22" s="5">
        <f t="shared" si="6"/>
        <v>108.42270454009171</v>
      </c>
    </row>
    <row r="26" spans="1:12" x14ac:dyDescent="0.4">
      <c r="A26" s="1" t="s">
        <v>10</v>
      </c>
      <c r="C26" s="2" t="s">
        <v>0</v>
      </c>
      <c r="D26" s="2"/>
      <c r="E26" s="2"/>
      <c r="F26" s="2"/>
      <c r="H26" s="2" t="s">
        <v>1</v>
      </c>
      <c r="I26" s="2"/>
      <c r="J26" s="2"/>
      <c r="K26" s="2"/>
    </row>
    <row r="27" spans="1:12" x14ac:dyDescent="0.4">
      <c r="B27" s="6" t="s">
        <v>11</v>
      </c>
      <c r="C27" s="3" t="s">
        <v>3</v>
      </c>
      <c r="D27" s="3" t="s">
        <v>4</v>
      </c>
      <c r="E27" s="3" t="s">
        <v>5</v>
      </c>
      <c r="F27" s="3" t="s">
        <v>6</v>
      </c>
      <c r="H27" s="3" t="s">
        <v>3</v>
      </c>
      <c r="I27" s="3" t="s">
        <v>4</v>
      </c>
      <c r="J27" s="3" t="s">
        <v>5</v>
      </c>
      <c r="K27" s="3" t="s">
        <v>6</v>
      </c>
    </row>
    <row r="28" spans="1:12" x14ac:dyDescent="0.4">
      <c r="C28" s="3">
        <v>0.94338971349672096</v>
      </c>
      <c r="D28" s="3">
        <v>0.64118053158439803</v>
      </c>
      <c r="E28" s="3">
        <v>0.415084570245081</v>
      </c>
      <c r="F28" s="3">
        <v>0.259406282361063</v>
      </c>
      <c r="H28" s="3">
        <v>1.04382725959223</v>
      </c>
      <c r="I28" s="3">
        <v>0.71086851822122299</v>
      </c>
      <c r="J28" s="3">
        <v>0.51452881682453</v>
      </c>
      <c r="K28" s="3">
        <v>0.21255418205169399</v>
      </c>
    </row>
    <row r="29" spans="1:12" x14ac:dyDescent="0.4">
      <c r="C29" s="3">
        <v>1.03762512944425</v>
      </c>
      <c r="D29" s="3">
        <v>0.72540559199171595</v>
      </c>
      <c r="E29" s="3">
        <v>0.46272005522954801</v>
      </c>
      <c r="F29" s="3">
        <v>0.190541939937867</v>
      </c>
      <c r="H29" s="3">
        <v>1.00305024883609</v>
      </c>
      <c r="I29" s="3">
        <v>0.61245785840423805</v>
      </c>
      <c r="J29" s="3">
        <v>0.45528977363942902</v>
      </c>
      <c r="K29" s="3">
        <v>0.257023599293627</v>
      </c>
    </row>
    <row r="30" spans="1:12" x14ac:dyDescent="0.4">
      <c r="C30" s="3">
        <v>1.01898515705903</v>
      </c>
      <c r="D30" s="3">
        <v>0.70365895754228502</v>
      </c>
      <c r="E30" s="3">
        <v>0.35709354504660001</v>
      </c>
      <c r="F30" s="3">
        <v>0.21505005177770101</v>
      </c>
      <c r="H30" s="3">
        <v>0.95312249157168105</v>
      </c>
      <c r="I30" s="3">
        <v>0.58323968534275195</v>
      </c>
      <c r="J30" s="3">
        <v>0.40327500401348498</v>
      </c>
      <c r="K30" s="3">
        <v>0.23840102745224001</v>
      </c>
    </row>
    <row r="31" spans="1:12" x14ac:dyDescent="0.4">
      <c r="B31" s="5" t="s">
        <v>8</v>
      </c>
      <c r="C31" s="5">
        <f>AVERAGE(C28:C30)</f>
        <v>1.0000000000000002</v>
      </c>
      <c r="D31" s="5">
        <f t="shared" ref="D31:K31" si="7">AVERAGE(D28:D30)</f>
        <v>0.69008169370613304</v>
      </c>
      <c r="E31" s="5">
        <f t="shared" si="7"/>
        <v>0.4116327235070763</v>
      </c>
      <c r="F31" s="5">
        <f t="shared" si="7"/>
        <v>0.22166609135887702</v>
      </c>
      <c r="G31" s="5"/>
      <c r="H31" s="5">
        <f t="shared" si="7"/>
        <v>1.0000000000000004</v>
      </c>
      <c r="I31" s="5">
        <f t="shared" si="7"/>
        <v>0.635522020656071</v>
      </c>
      <c r="J31" s="5">
        <f t="shared" si="7"/>
        <v>0.4576978648258147</v>
      </c>
      <c r="K31" s="5">
        <f t="shared" si="7"/>
        <v>0.23599293626585369</v>
      </c>
    </row>
    <row r="32" spans="1:12" x14ac:dyDescent="0.4">
      <c r="B32" s="5" t="s">
        <v>9</v>
      </c>
      <c r="C32" s="5">
        <f>STDEV(C28:C30)</f>
        <v>4.9903963230568893E-2</v>
      </c>
      <c r="D32" s="5">
        <f t="shared" ref="D32:K32" si="8">STDEV(D28:D30)</f>
        <v>4.3723240617678939E-2</v>
      </c>
      <c r="E32" s="5">
        <f t="shared" si="8"/>
        <v>5.2897791520857655E-2</v>
      </c>
      <c r="F32" s="5">
        <f t="shared" si="8"/>
        <v>3.4905635635947868E-2</v>
      </c>
      <c r="G32" s="5"/>
      <c r="H32" s="5">
        <f t="shared" si="8"/>
        <v>4.5429249926528054E-2</v>
      </c>
      <c r="I32" s="5">
        <f t="shared" si="8"/>
        <v>6.6867379421989684E-2</v>
      </c>
      <c r="J32" s="5">
        <f t="shared" si="8"/>
        <v>5.5665985068264284E-2</v>
      </c>
      <c r="K32" s="5">
        <f t="shared" si="8"/>
        <v>2.2332296004458341E-2</v>
      </c>
    </row>
    <row r="34" spans="2:11" x14ac:dyDescent="0.4">
      <c r="C34" s="2" t="s">
        <v>0</v>
      </c>
      <c r="D34" s="2"/>
      <c r="E34" s="2"/>
      <c r="F34" s="2"/>
      <c r="H34" s="2" t="s">
        <v>1</v>
      </c>
      <c r="I34" s="2"/>
      <c r="J34" s="2"/>
      <c r="K34" s="2"/>
    </row>
    <row r="35" spans="2:11" x14ac:dyDescent="0.4">
      <c r="B35" s="6" t="s">
        <v>12</v>
      </c>
      <c r="C35" s="3" t="s">
        <v>3</v>
      </c>
      <c r="D35" s="3" t="s">
        <v>4</v>
      </c>
      <c r="E35" s="3" t="s">
        <v>5</v>
      </c>
      <c r="F35" s="3" t="s">
        <v>6</v>
      </c>
      <c r="H35" s="3" t="s">
        <v>3</v>
      </c>
      <c r="I35" s="3" t="s">
        <v>4</v>
      </c>
      <c r="J35" s="3" t="s">
        <v>5</v>
      </c>
      <c r="K35" s="3" t="s">
        <v>6</v>
      </c>
    </row>
    <row r="36" spans="2:11" x14ac:dyDescent="0.4">
      <c r="C36" s="3">
        <v>0.98260263917231605</v>
      </c>
      <c r="D36" s="3">
        <v>0.59211477339500995</v>
      </c>
      <c r="E36" s="3">
        <v>0.59230250794586503</v>
      </c>
      <c r="F36" s="3">
        <v>0.238047410483473</v>
      </c>
      <c r="H36" s="3">
        <v>0.96731059741660796</v>
      </c>
      <c r="I36" s="3">
        <v>0.78965285072788804</v>
      </c>
      <c r="J36" s="3">
        <v>0.63217491178406504</v>
      </c>
      <c r="K36" s="3">
        <v>0.211982279488451</v>
      </c>
    </row>
    <row r="37" spans="2:11" x14ac:dyDescent="0.4">
      <c r="C37" s="3">
        <v>1.09073774046449</v>
      </c>
      <c r="D37" s="3">
        <v>0.70813472582307502</v>
      </c>
      <c r="E37" s="3">
        <v>0.46407980971225898</v>
      </c>
      <c r="F37" s="3">
        <v>0.19036283456643599</v>
      </c>
      <c r="H37" s="3">
        <v>1.0874464622156701</v>
      </c>
      <c r="I37" s="3">
        <v>0.67385470161230998</v>
      </c>
      <c r="J37" s="3">
        <v>0.69554328002972299</v>
      </c>
      <c r="K37" s="3">
        <v>0.168416526319561</v>
      </c>
    </row>
    <row r="38" spans="2:11" x14ac:dyDescent="0.4">
      <c r="C38" s="3">
        <v>0.926657743017683</v>
      </c>
      <c r="D38" s="3">
        <v>0.65951147715176694</v>
      </c>
      <c r="E38" s="3">
        <v>0.51908603311262003</v>
      </c>
      <c r="F38" s="3">
        <v>0.30187715777399399</v>
      </c>
      <c r="H38" s="3">
        <v>0.94524482633106599</v>
      </c>
      <c r="I38" s="3">
        <v>0.74137218920738601</v>
      </c>
      <c r="J38" s="3">
        <v>0.56842935087027802</v>
      </c>
      <c r="K38" s="3">
        <v>0.25403926198482601</v>
      </c>
    </row>
    <row r="39" spans="2:11" x14ac:dyDescent="0.4">
      <c r="B39" s="5" t="s">
        <v>8</v>
      </c>
      <c r="C39" s="5">
        <f>AVERAGE(C36:C38)</f>
        <v>0.99999937421816298</v>
      </c>
      <c r="D39" s="5">
        <f t="shared" ref="D39:K39" si="9">AVERAGE(D36:D38)</f>
        <v>0.65325365878995068</v>
      </c>
      <c r="E39" s="5">
        <f t="shared" si="9"/>
        <v>0.52515611692358133</v>
      </c>
      <c r="F39" s="5">
        <f t="shared" si="9"/>
        <v>0.24342913427463433</v>
      </c>
      <c r="G39" s="5"/>
      <c r="H39" s="5">
        <f t="shared" si="9"/>
        <v>1.0000006286544481</v>
      </c>
      <c r="I39" s="5">
        <f t="shared" si="9"/>
        <v>0.73495991384919457</v>
      </c>
      <c r="J39" s="5">
        <f t="shared" si="9"/>
        <v>0.63204918089468864</v>
      </c>
      <c r="K39" s="5">
        <f t="shared" si="9"/>
        <v>0.21147935593094602</v>
      </c>
    </row>
    <row r="40" spans="2:11" x14ac:dyDescent="0.4">
      <c r="B40" s="5" t="s">
        <v>9</v>
      </c>
      <c r="C40" s="5">
        <f>STDEV(C36:C38)</f>
        <v>8.3411906723366541E-2</v>
      </c>
      <c r="D40" s="5">
        <f t="shared" ref="D40:K40" si="10">STDEV(D36:D38)</f>
        <v>5.8262574250883679E-2</v>
      </c>
      <c r="E40" s="5">
        <f t="shared" si="10"/>
        <v>6.4326507162138613E-2</v>
      </c>
      <c r="F40" s="5">
        <f t="shared" si="10"/>
        <v>5.5951615556060548E-2</v>
      </c>
      <c r="G40" s="5"/>
      <c r="H40" s="5">
        <f t="shared" si="10"/>
        <v>7.6529764920667306E-2</v>
      </c>
      <c r="I40" s="5">
        <f t="shared" si="10"/>
        <v>5.8164772767546884E-2</v>
      </c>
      <c r="J40" s="5">
        <f t="shared" si="10"/>
        <v>6.3557057851827178E-2</v>
      </c>
      <c r="K40" s="5">
        <f t="shared" si="10"/>
        <v>4.2813583297587471E-2</v>
      </c>
    </row>
    <row r="43" spans="2:11" x14ac:dyDescent="0.4">
      <c r="C43" s="2" t="s">
        <v>0</v>
      </c>
      <c r="D43" s="2"/>
      <c r="E43" s="2"/>
      <c r="F43" s="2"/>
      <c r="H43" s="2" t="s">
        <v>1</v>
      </c>
      <c r="I43" s="2"/>
      <c r="J43" s="2"/>
      <c r="K43" s="2"/>
    </row>
    <row r="44" spans="2:11" x14ac:dyDescent="0.4">
      <c r="B44" s="6" t="s">
        <v>13</v>
      </c>
      <c r="C44" s="3" t="s">
        <v>3</v>
      </c>
      <c r="D44" s="3" t="s">
        <v>4</v>
      </c>
      <c r="E44" s="3" t="s">
        <v>5</v>
      </c>
      <c r="F44" s="3" t="s">
        <v>6</v>
      </c>
      <c r="H44" s="3" t="s">
        <v>3</v>
      </c>
      <c r="I44" s="3" t="s">
        <v>4</v>
      </c>
      <c r="J44" s="3" t="s">
        <v>5</v>
      </c>
      <c r="K44" s="3" t="s">
        <v>6</v>
      </c>
    </row>
    <row r="45" spans="2:11" x14ac:dyDescent="0.4">
      <c r="C45" s="3">
        <v>1.112795</v>
      </c>
      <c r="D45" s="3">
        <v>0.82921</v>
      </c>
      <c r="E45" s="3">
        <v>0.49668299999999999</v>
      </c>
      <c r="F45" s="3">
        <v>0.32128699999999999</v>
      </c>
      <c r="H45" s="3">
        <v>1.1093770000000001</v>
      </c>
      <c r="I45" s="3">
        <v>0.78419899999999998</v>
      </c>
      <c r="J45" s="3">
        <v>0.47356399999999998</v>
      </c>
      <c r="K45" s="3">
        <v>0.35131000000000001</v>
      </c>
    </row>
    <row r="46" spans="2:11" x14ac:dyDescent="0.4">
      <c r="C46" s="3">
        <v>0.99172700000000003</v>
      </c>
      <c r="D46" s="3">
        <v>0.84981700000000004</v>
      </c>
      <c r="E46" s="3">
        <v>0.45991799999999999</v>
      </c>
      <c r="F46" s="3">
        <v>0.26883200000000002</v>
      </c>
      <c r="H46" s="3">
        <v>0.997803</v>
      </c>
      <c r="I46" s="3">
        <v>0.73102500000000004</v>
      </c>
      <c r="J46" s="3">
        <v>0.52900999999999998</v>
      </c>
      <c r="K46" s="3">
        <v>0.27745799999999998</v>
      </c>
    </row>
    <row r="47" spans="2:11" x14ac:dyDescent="0.4">
      <c r="C47" s="3">
        <v>0.89548099999999997</v>
      </c>
      <c r="D47" s="3">
        <v>0.67348399999999997</v>
      </c>
      <c r="E47" s="3">
        <v>0.55663099999999999</v>
      </c>
      <c r="F47" s="3">
        <v>0.21918699999999999</v>
      </c>
      <c r="H47" s="3">
        <v>0.89281900000000003</v>
      </c>
      <c r="I47" s="3">
        <v>0.88554699999999997</v>
      </c>
      <c r="J47" s="3">
        <v>0.40880100000000003</v>
      </c>
      <c r="K47" s="3">
        <v>0.24223600000000001</v>
      </c>
    </row>
    <row r="48" spans="2:11" x14ac:dyDescent="0.4">
      <c r="B48" s="5" t="s">
        <v>8</v>
      </c>
      <c r="C48" s="5">
        <f>AVERAGE(C45:C47)</f>
        <v>1.0000010000000001</v>
      </c>
      <c r="D48" s="5">
        <f t="shared" ref="D48:K48" si="11">AVERAGE(D45:D47)</f>
        <v>0.7841703333333333</v>
      </c>
      <c r="E48" s="5">
        <f t="shared" si="11"/>
        <v>0.50441066666666667</v>
      </c>
      <c r="F48" s="5">
        <f t="shared" si="11"/>
        <v>0.26976866666666671</v>
      </c>
      <c r="G48" s="5"/>
      <c r="H48" s="5">
        <f t="shared" si="11"/>
        <v>0.99999966666666662</v>
      </c>
      <c r="I48" s="5">
        <f t="shared" si="11"/>
        <v>0.80025699999999989</v>
      </c>
      <c r="J48" s="5">
        <f t="shared" si="11"/>
        <v>0.47045833333333337</v>
      </c>
      <c r="K48" s="5">
        <f t="shared" si="11"/>
        <v>0.29033466666666669</v>
      </c>
    </row>
    <row r="49" spans="1:11" x14ac:dyDescent="0.4">
      <c r="B49" s="5" t="s">
        <v>9</v>
      </c>
      <c r="C49" s="5">
        <f>STDEV(C45:C47)</f>
        <v>0.10889301151129947</v>
      </c>
      <c r="D49" s="5">
        <f t="shared" ref="D49:K49" si="12">STDEV(D45:D47)</f>
        <v>9.640933773412895E-2</v>
      </c>
      <c r="E49" s="5">
        <f t="shared" si="12"/>
        <v>4.8817401777781384E-2</v>
      </c>
      <c r="F49" s="5">
        <f t="shared" si="12"/>
        <v>5.1056444336962201E-2</v>
      </c>
      <c r="G49" s="5"/>
      <c r="H49" s="5">
        <f t="shared" si="12"/>
        <v>0.10829571020743774</v>
      </c>
      <c r="I49" s="5">
        <f t="shared" si="12"/>
        <v>7.8502590046443665E-2</v>
      </c>
      <c r="J49" s="5">
        <f t="shared" si="12"/>
        <v>6.0164647379780098E-2</v>
      </c>
      <c r="K49" s="5">
        <f t="shared" si="12"/>
        <v>5.5665436110151179E-2</v>
      </c>
    </row>
    <row r="53" spans="1:11" x14ac:dyDescent="0.4">
      <c r="A53" s="1" t="s">
        <v>14</v>
      </c>
      <c r="B53" s="2" t="s">
        <v>0</v>
      </c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4">
      <c r="B54" s="6" t="s">
        <v>15</v>
      </c>
      <c r="C54" s="3" t="s">
        <v>3</v>
      </c>
      <c r="D54" s="3" t="s">
        <v>4</v>
      </c>
      <c r="E54" s="3" t="s">
        <v>5</v>
      </c>
      <c r="F54" s="3" t="s">
        <v>6</v>
      </c>
      <c r="G54" s="6" t="s">
        <v>16</v>
      </c>
      <c r="H54" s="3" t="s">
        <v>3</v>
      </c>
      <c r="I54" s="3" t="s">
        <v>4</v>
      </c>
      <c r="J54" s="3" t="s">
        <v>5</v>
      </c>
      <c r="K54" s="3" t="s">
        <v>6</v>
      </c>
    </row>
    <row r="55" spans="1:11" x14ac:dyDescent="0.4">
      <c r="C55" s="3">
        <v>0.84549356223175998</v>
      </c>
      <c r="D55" s="3">
        <v>0.8068669527897</v>
      </c>
      <c r="E55" s="3">
        <v>0.389127339055794</v>
      </c>
      <c r="F55" s="3">
        <v>0.15879828326180301</v>
      </c>
      <c r="H55" s="3">
        <v>1.0801817065327799</v>
      </c>
      <c r="I55" s="3">
        <v>0.65809389683720099</v>
      </c>
      <c r="J55" s="3">
        <v>0.66717105403495502</v>
      </c>
      <c r="K55" s="3">
        <v>0.118003043570808</v>
      </c>
    </row>
    <row r="56" spans="1:11" x14ac:dyDescent="0.4">
      <c r="C56" s="3">
        <v>1.1115879828326201</v>
      </c>
      <c r="D56" s="3">
        <v>0.72389127324749603</v>
      </c>
      <c r="E56" s="3">
        <v>0.35193133047210301</v>
      </c>
      <c r="F56" s="3">
        <v>0.175965665236052</v>
      </c>
      <c r="H56" s="3">
        <v>1.1346446497193099</v>
      </c>
      <c r="I56" s="3">
        <v>0.73071115441923695</v>
      </c>
      <c r="J56" s="3">
        <v>0.60816953224955095</v>
      </c>
      <c r="K56" s="3">
        <v>0.14523451516407199</v>
      </c>
    </row>
    <row r="57" spans="1:11" x14ac:dyDescent="0.4">
      <c r="C57" s="3">
        <v>1.0429184549356201</v>
      </c>
      <c r="D57" s="3">
        <v>0.67525035765379104</v>
      </c>
      <c r="E57" s="3">
        <v>0.29756793991416303</v>
      </c>
      <c r="F57" s="3">
        <v>0.10729613733905601</v>
      </c>
      <c r="H57" s="3">
        <v>0.78517409760576395</v>
      </c>
      <c r="I57" s="3">
        <v>0.60363095365067398</v>
      </c>
      <c r="J57" s="3">
        <v>0.52647511746976094</v>
      </c>
      <c r="K57" s="3">
        <v>0.108925886373054</v>
      </c>
    </row>
    <row r="58" spans="1:11" x14ac:dyDescent="0.4">
      <c r="B58" s="5" t="s">
        <v>8</v>
      </c>
      <c r="C58" s="5">
        <f>AVERAGE(C55:C57)</f>
        <v>1</v>
      </c>
      <c r="D58" s="5">
        <f t="shared" ref="D58:K58" si="13">AVERAGE(D55:D57)</f>
        <v>0.73533619456366239</v>
      </c>
      <c r="E58" s="5">
        <f t="shared" si="13"/>
        <v>0.34620886981401999</v>
      </c>
      <c r="F58" s="5">
        <f t="shared" si="13"/>
        <v>0.147353361945637</v>
      </c>
      <c r="G58" s="5" t="s">
        <v>8</v>
      </c>
      <c r="H58" s="5">
        <f t="shared" si="13"/>
        <v>1.0000001512859511</v>
      </c>
      <c r="I58" s="5">
        <f t="shared" si="13"/>
        <v>0.66414533496903727</v>
      </c>
      <c r="J58" s="5">
        <f t="shared" si="13"/>
        <v>0.60060523458475557</v>
      </c>
      <c r="K58" s="5">
        <f t="shared" si="13"/>
        <v>0.12405448170264466</v>
      </c>
    </row>
    <row r="59" spans="1:11" x14ac:dyDescent="0.4">
      <c r="B59" s="5" t="s">
        <v>9</v>
      </c>
      <c r="C59" s="5">
        <f>STDEV(C55:C57)</f>
        <v>0.13814143295649017</v>
      </c>
      <c r="D59" s="5">
        <f t="shared" ref="D59:K59" si="14">STDEV(D55:D57)</f>
        <v>6.6550519883336545E-2</v>
      </c>
      <c r="E59" s="5">
        <f t="shared" si="14"/>
        <v>4.6047158541886478E-2</v>
      </c>
      <c r="F59" s="5">
        <f t="shared" si="14"/>
        <v>3.5736755355641865E-2</v>
      </c>
      <c r="G59" s="5" t="s">
        <v>9</v>
      </c>
      <c r="H59" s="5">
        <f t="shared" si="14"/>
        <v>0.18802720029290176</v>
      </c>
      <c r="I59" s="5">
        <f t="shared" si="14"/>
        <v>6.3755856863837612E-2</v>
      </c>
      <c r="J59" s="5">
        <f t="shared" si="14"/>
        <v>7.0652321907071811E-2</v>
      </c>
      <c r="K59" s="5">
        <f t="shared" si="14"/>
        <v>1.8895609510375E-2</v>
      </c>
    </row>
    <row r="61" spans="1:11" x14ac:dyDescent="0.4">
      <c r="B61" s="6" t="s">
        <v>17</v>
      </c>
      <c r="C61" s="3" t="s">
        <v>3</v>
      </c>
      <c r="D61" s="3" t="s">
        <v>4</v>
      </c>
      <c r="E61" s="3" t="s">
        <v>5</v>
      </c>
      <c r="F61" s="3" t="s">
        <v>6</v>
      </c>
      <c r="G61" s="6" t="s">
        <v>18</v>
      </c>
      <c r="H61" s="3" t="s">
        <v>3</v>
      </c>
      <c r="I61" s="3" t="s">
        <v>4</v>
      </c>
      <c r="J61" s="3" t="s">
        <v>5</v>
      </c>
      <c r="K61" s="3" t="s">
        <v>6</v>
      </c>
    </row>
    <row r="62" spans="1:11" x14ac:dyDescent="0.4">
      <c r="C62" s="3">
        <v>0.97183115701252798</v>
      </c>
      <c r="D62" s="3">
        <v>0.83450718917380096</v>
      </c>
      <c r="E62" s="3">
        <v>0.53873248921346595</v>
      </c>
      <c r="F62" s="3">
        <v>7.9225366060803895E-2</v>
      </c>
      <c r="H62" s="3">
        <v>1.1315906026875899</v>
      </c>
      <c r="I62" s="3">
        <v>0.73005845334683095</v>
      </c>
      <c r="J62" s="3">
        <v>0.63271732623392096</v>
      </c>
      <c r="K62" s="3">
        <v>0.27174397985687598</v>
      </c>
    </row>
    <row r="63" spans="1:11" x14ac:dyDescent="0.4">
      <c r="C63" s="3">
        <v>1.15140865341702</v>
      </c>
      <c r="D63" s="3">
        <v>0.66901420229123298</v>
      </c>
      <c r="E63" s="3">
        <v>0.51232403385986502</v>
      </c>
      <c r="F63" s="3">
        <v>0.14260565890944699</v>
      </c>
      <c r="H63" s="3">
        <v>1.11131120120573</v>
      </c>
      <c r="I63" s="3">
        <v>0.904461306090797</v>
      </c>
      <c r="J63" s="3">
        <v>0.586750818071056</v>
      </c>
      <c r="K63" s="3">
        <v>0.22307341630042099</v>
      </c>
    </row>
    <row r="64" spans="1:11" x14ac:dyDescent="0.4">
      <c r="C64" s="3">
        <v>0.87676071773956299</v>
      </c>
      <c r="D64" s="3">
        <v>0.60563390944258999</v>
      </c>
      <c r="E64" s="3">
        <v>0.44894374101122198</v>
      </c>
      <c r="F64" s="3">
        <v>0.11619720355584599</v>
      </c>
      <c r="H64" s="3">
        <v>0.75709765532263995</v>
      </c>
      <c r="I64" s="3">
        <v>0.82739958045974205</v>
      </c>
      <c r="J64" s="3">
        <v>0.45966629839273598</v>
      </c>
      <c r="K64" s="3">
        <v>0.117620528594767</v>
      </c>
    </row>
    <row r="65" spans="2:11" x14ac:dyDescent="0.4">
      <c r="B65" s="5" t="s">
        <v>8</v>
      </c>
      <c r="C65" s="5">
        <f>AVERAGE(C62:C64)</f>
        <v>1.0000001760563704</v>
      </c>
      <c r="D65" s="5">
        <f t="shared" ref="D65:K65" si="15">AVERAGE(D62:D64)</f>
        <v>0.7030517669692079</v>
      </c>
      <c r="E65" s="5">
        <f t="shared" si="15"/>
        <v>0.5000000880281843</v>
      </c>
      <c r="F65" s="5">
        <f t="shared" si="15"/>
        <v>0.11267607617536562</v>
      </c>
      <c r="G65" s="5" t="s">
        <v>8</v>
      </c>
      <c r="H65" s="5">
        <f t="shared" si="15"/>
        <v>0.99999981973865326</v>
      </c>
      <c r="I65" s="5">
        <f t="shared" si="15"/>
        <v>0.82063977996578996</v>
      </c>
      <c r="J65" s="5">
        <f t="shared" si="15"/>
        <v>0.55971148089923761</v>
      </c>
      <c r="K65" s="5">
        <f t="shared" si="15"/>
        <v>0.20414597491735464</v>
      </c>
    </row>
    <row r="66" spans="2:11" x14ac:dyDescent="0.4">
      <c r="B66" s="5" t="s">
        <v>9</v>
      </c>
      <c r="C66" s="5">
        <f>STDEV(C62:C64)</f>
        <v>0.13947398455766397</v>
      </c>
      <c r="D66" s="5">
        <f t="shared" ref="D66:K66" si="16">STDEV(D62:D64)</f>
        <v>0.11817216846887432</v>
      </c>
      <c r="E66" s="5">
        <f t="shared" si="16"/>
        <v>4.6145580032958114E-2</v>
      </c>
      <c r="F66" s="5">
        <f t="shared" si="16"/>
        <v>3.1836522013516465E-2</v>
      </c>
      <c r="G66" s="5" t="s">
        <v>9</v>
      </c>
      <c r="H66" s="5">
        <f t="shared" si="16"/>
        <v>0.21060367907423638</v>
      </c>
      <c r="I66" s="5">
        <f t="shared" si="16"/>
        <v>8.7397711287807198E-2</v>
      </c>
      <c r="J66" s="5">
        <f t="shared" si="16"/>
        <v>8.9638211022092712E-2</v>
      </c>
      <c r="K66" s="5">
        <f t="shared" si="16"/>
        <v>7.8785757502342915E-2</v>
      </c>
    </row>
    <row r="68" spans="2:11" x14ac:dyDescent="0.4">
      <c r="B68" s="6" t="s">
        <v>19</v>
      </c>
      <c r="C68" s="3" t="s">
        <v>3</v>
      </c>
      <c r="D68" s="3" t="s">
        <v>4</v>
      </c>
      <c r="E68" s="3" t="s">
        <v>5</v>
      </c>
      <c r="F68" s="3" t="s">
        <v>6</v>
      </c>
      <c r="G68" s="6" t="s">
        <v>20</v>
      </c>
      <c r="H68" s="3" t="s">
        <v>3</v>
      </c>
      <c r="I68" s="3" t="s">
        <v>4</v>
      </c>
      <c r="J68" s="3" t="s">
        <v>5</v>
      </c>
      <c r="K68" s="3" t="s">
        <v>6</v>
      </c>
    </row>
    <row r="69" spans="2:11" x14ac:dyDescent="0.4">
      <c r="C69" s="3">
        <v>1.2150708343910299</v>
      </c>
      <c r="D69" s="3">
        <v>0.81004722292735098</v>
      </c>
      <c r="E69" s="3">
        <v>0.57927795593060505</v>
      </c>
      <c r="F69" s="3">
        <v>0.175824187727502</v>
      </c>
      <c r="H69" s="3">
        <v>1.0951758676433001</v>
      </c>
      <c r="I69" s="3">
        <v>0.715775656352587</v>
      </c>
      <c r="J69" s="3">
        <v>0.62320708954275195</v>
      </c>
      <c r="K69" s="3">
        <v>0.27640154153826102</v>
      </c>
    </row>
    <row r="70" spans="2:11" x14ac:dyDescent="0.4">
      <c r="C70" s="3">
        <v>1.0125590286591899</v>
      </c>
      <c r="D70" s="3">
        <v>0.649921609092874</v>
      </c>
      <c r="E70" s="3">
        <v>0.53689176403324401</v>
      </c>
      <c r="F70" s="3">
        <v>0.14442703994145101</v>
      </c>
      <c r="H70" s="3">
        <v>1.05997378618334</v>
      </c>
      <c r="I70" s="3">
        <v>0.82529324311691699</v>
      </c>
      <c r="J70" s="3">
        <v>0.59973903523611005</v>
      </c>
      <c r="K70" s="3">
        <v>0.336375445061872</v>
      </c>
    </row>
    <row r="71" spans="2:11" x14ac:dyDescent="0.4">
      <c r="C71" s="3">
        <v>0.77237060790747403</v>
      </c>
      <c r="D71" s="3">
        <v>0.57456837905312097</v>
      </c>
      <c r="E71" s="3">
        <v>0.35321826581134502</v>
      </c>
      <c r="F71" s="3">
        <v>9.1051803932779299E-2</v>
      </c>
      <c r="H71" s="3">
        <v>0.84484995503911897</v>
      </c>
      <c r="I71" s="3">
        <v>0.58670135766605502</v>
      </c>
      <c r="J71" s="3">
        <v>0.43546265508961501</v>
      </c>
      <c r="K71" s="3">
        <v>0.25032591260418402</v>
      </c>
    </row>
    <row r="72" spans="2:11" x14ac:dyDescent="0.4">
      <c r="B72" s="5" t="s">
        <v>8</v>
      </c>
      <c r="C72" s="5">
        <f>AVERAGE(C69:C71)</f>
        <v>1.0000001569858981</v>
      </c>
      <c r="D72" s="5">
        <f t="shared" ref="D72:K72" si="17">AVERAGE(D69:D71)</f>
        <v>0.67817907035778202</v>
      </c>
      <c r="E72" s="5">
        <f t="shared" si="17"/>
        <v>0.48979599525839806</v>
      </c>
      <c r="F72" s="5">
        <f t="shared" si="17"/>
        <v>0.13710101053391074</v>
      </c>
      <c r="G72" s="5" t="s">
        <v>8</v>
      </c>
      <c r="H72" s="5">
        <f t="shared" si="17"/>
        <v>0.99999986962191967</v>
      </c>
      <c r="I72" s="5">
        <f t="shared" si="17"/>
        <v>0.70925675237851971</v>
      </c>
      <c r="J72" s="5">
        <f t="shared" si="17"/>
        <v>0.55280292662282571</v>
      </c>
      <c r="K72" s="5">
        <f t="shared" si="17"/>
        <v>0.287700966401439</v>
      </c>
    </row>
    <row r="73" spans="2:11" x14ac:dyDescent="0.4">
      <c r="B73" s="5" t="s">
        <v>9</v>
      </c>
      <c r="C73" s="5">
        <f>STDEV(C69:C71)</f>
        <v>0.22161716218611621</v>
      </c>
      <c r="D73" s="5">
        <f t="shared" ref="D73:K73" si="18">STDEV(D69:D71)</f>
        <v>0.12025570492055326</v>
      </c>
      <c r="E73" s="5">
        <f t="shared" si="18"/>
        <v>0.12016344890013057</v>
      </c>
      <c r="F73" s="5">
        <f t="shared" si="18"/>
        <v>4.2858398170254296E-2</v>
      </c>
      <c r="G73" s="5" t="s">
        <v>9</v>
      </c>
      <c r="H73" s="5">
        <f t="shared" si="18"/>
        <v>0.13551169186113118</v>
      </c>
      <c r="I73" s="5">
        <f t="shared" si="18"/>
        <v>0.11942945211511539</v>
      </c>
      <c r="J73" s="5">
        <f t="shared" si="18"/>
        <v>0.10229487712417763</v>
      </c>
      <c r="K73" s="5">
        <f t="shared" si="18"/>
        <v>4.4123556755157778E-2</v>
      </c>
    </row>
    <row r="75" spans="2:11" x14ac:dyDescent="0.4">
      <c r="B75" s="6" t="s">
        <v>21</v>
      </c>
      <c r="C75" s="3" t="s">
        <v>3</v>
      </c>
      <c r="D75" s="3" t="s">
        <v>4</v>
      </c>
      <c r="E75" s="3" t="s">
        <v>5</v>
      </c>
      <c r="F75" s="3" t="s">
        <v>6</v>
      </c>
      <c r="G75" s="6" t="s">
        <v>22</v>
      </c>
      <c r="H75" s="3" t="s">
        <v>3</v>
      </c>
      <c r="I75" s="3" t="s">
        <v>4</v>
      </c>
      <c r="J75" s="3" t="s">
        <v>5</v>
      </c>
      <c r="K75" s="3" t="s">
        <v>6</v>
      </c>
    </row>
    <row r="76" spans="2:11" x14ac:dyDescent="0.4">
      <c r="C76" s="3">
        <v>1.04863237821161</v>
      </c>
      <c r="D76" s="3">
        <v>0.79635285658858002</v>
      </c>
      <c r="E76" s="3">
        <v>0.40729487952809701</v>
      </c>
      <c r="F76" s="3">
        <v>0.176291835302711</v>
      </c>
      <c r="H76" s="3">
        <v>1.11083109435377</v>
      </c>
      <c r="I76" s="3">
        <v>0.85012583751563797</v>
      </c>
      <c r="J76" s="3">
        <v>0.55163721012125799</v>
      </c>
      <c r="K76" s="3">
        <v>0.28715361622750402</v>
      </c>
    </row>
    <row r="77" spans="2:11" x14ac:dyDescent="0.4">
      <c r="C77" s="3">
        <v>1.0896658190981501</v>
      </c>
      <c r="D77" s="3">
        <v>0.77203643951921597</v>
      </c>
      <c r="E77" s="3">
        <v>0.31914898467309799</v>
      </c>
      <c r="F77" s="3">
        <v>0.19148939080385899</v>
      </c>
      <c r="H77" s="3">
        <v>1.06171271263064</v>
      </c>
      <c r="I77" s="3">
        <v>0.77833743345876205</v>
      </c>
      <c r="J77" s="3">
        <v>0.585642243621884</v>
      </c>
      <c r="K77" s="3">
        <v>0.29848862739437898</v>
      </c>
    </row>
    <row r="78" spans="2:11" x14ac:dyDescent="0.4">
      <c r="C78" s="3">
        <v>0.86170225861736405</v>
      </c>
      <c r="D78" s="3">
        <v>0.53799400273465103</v>
      </c>
      <c r="E78" s="3">
        <v>0.44984810787965201</v>
      </c>
      <c r="F78" s="3">
        <v>9.4224953529628203E-2</v>
      </c>
      <c r="H78" s="3">
        <v>0.82745581518188704</v>
      </c>
      <c r="I78" s="3">
        <v>0.65743064767876003</v>
      </c>
      <c r="J78" s="3">
        <v>0.49118381723125698</v>
      </c>
      <c r="K78" s="3">
        <v>0.16624683044750199</v>
      </c>
    </row>
    <row r="79" spans="2:11" x14ac:dyDescent="0.4">
      <c r="B79" s="5" t="s">
        <v>8</v>
      </c>
      <c r="C79" s="5">
        <f>AVERAGE(C76:C78)</f>
        <v>1.0000001519757082</v>
      </c>
      <c r="D79" s="5">
        <f t="shared" ref="D79:K79" si="19">AVERAGE(D76:D78)</f>
        <v>0.70212776628081564</v>
      </c>
      <c r="E79" s="5">
        <f t="shared" si="19"/>
        <v>0.39209732402694897</v>
      </c>
      <c r="F79" s="5">
        <f t="shared" si="19"/>
        <v>0.15400205987873272</v>
      </c>
      <c r="G79" s="5" t="s">
        <v>8</v>
      </c>
      <c r="H79" s="5">
        <f t="shared" si="19"/>
        <v>0.99999987405543234</v>
      </c>
      <c r="I79" s="5">
        <f t="shared" si="19"/>
        <v>0.76196463955105331</v>
      </c>
      <c r="J79" s="5">
        <f t="shared" si="19"/>
        <v>0.54282109032479975</v>
      </c>
      <c r="K79" s="5">
        <f t="shared" si="19"/>
        <v>0.25062969135646168</v>
      </c>
    </row>
    <row r="80" spans="2:11" x14ac:dyDescent="0.4">
      <c r="B80" s="5" t="s">
        <v>9</v>
      </c>
      <c r="C80" s="5">
        <f>STDEV(C76:C78)</f>
        <v>0.12151405802730897</v>
      </c>
      <c r="D80" s="5">
        <f t="shared" ref="D80:K80" si="20">STDEV(D76:D78)</f>
        <v>0.14266303405803518</v>
      </c>
      <c r="E80" s="5">
        <f t="shared" si="20"/>
        <v>6.6661754189703243E-2</v>
      </c>
      <c r="F80" s="5">
        <f t="shared" si="20"/>
        <v>5.2323209533692981E-2</v>
      </c>
      <c r="G80" s="5" t="s">
        <v>9</v>
      </c>
      <c r="H80" s="5">
        <f t="shared" si="20"/>
        <v>0.15143230515709971</v>
      </c>
      <c r="I80" s="5">
        <f t="shared" si="20"/>
        <v>9.7385370214555025E-2</v>
      </c>
      <c r="J80" s="5">
        <f t="shared" si="20"/>
        <v>4.7842361514117422E-2</v>
      </c>
      <c r="K80" s="5">
        <f t="shared" si="20"/>
        <v>7.329714203789886E-2</v>
      </c>
    </row>
  </sheetData>
  <mergeCells count="19">
    <mergeCell ref="C43:F43"/>
    <mergeCell ref="H43:K43"/>
    <mergeCell ref="B53:K53"/>
    <mergeCell ref="C14:F14"/>
    <mergeCell ref="I14:L14"/>
    <mergeCell ref="C26:F26"/>
    <mergeCell ref="H26:K26"/>
    <mergeCell ref="C34:F34"/>
    <mergeCell ref="H34:K34"/>
    <mergeCell ref="B1:N1"/>
    <mergeCell ref="P1:AB1"/>
    <mergeCell ref="C2:E2"/>
    <mergeCell ref="F2:H2"/>
    <mergeCell ref="I2:K2"/>
    <mergeCell ref="L2:N2"/>
    <mergeCell ref="Q2:S2"/>
    <mergeCell ref="T2:V2"/>
    <mergeCell ref="W2:Y2"/>
    <mergeCell ref="Z2:A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2026-02-10T11:29:56Z</dcterms:created>
  <dcterms:modified xsi:type="dcterms:W3CDTF">2026-02-10T11:30:18Z</dcterms:modified>
</cp:coreProperties>
</file>