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2\"/>
    </mc:Choice>
  </mc:AlternateContent>
  <xr:revisionPtr revIDLastSave="0" documentId="8_{FEB1C39B-50D3-449F-9809-6C30350FF4E8}" xr6:coauthVersionLast="47" xr6:coauthVersionMax="47" xr10:uidLastSave="{00000000-0000-0000-0000-000000000000}"/>
  <bookViews>
    <workbookView xWindow="-98" yWindow="-98" windowWidth="23236" windowHeight="13875" xr2:uid="{7A03A490-E8CE-4E80-9B31-59D8981B44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" i="1" l="1"/>
  <c r="O29" i="1"/>
  <c r="N29" i="1"/>
  <c r="M29" i="1"/>
  <c r="K29" i="1"/>
  <c r="J29" i="1"/>
  <c r="I29" i="1"/>
  <c r="H29" i="1"/>
  <c r="F29" i="1"/>
  <c r="E29" i="1"/>
  <c r="D29" i="1"/>
  <c r="C29" i="1"/>
  <c r="P28" i="1"/>
  <c r="O28" i="1"/>
  <c r="N28" i="1"/>
  <c r="M28" i="1"/>
  <c r="K28" i="1"/>
  <c r="J28" i="1"/>
  <c r="I28" i="1"/>
  <c r="H28" i="1"/>
  <c r="F28" i="1"/>
  <c r="E28" i="1"/>
  <c r="D28" i="1"/>
  <c r="C28" i="1"/>
  <c r="S16" i="1"/>
  <c r="R16" i="1"/>
  <c r="Q16" i="1"/>
  <c r="P16" i="1"/>
  <c r="O16" i="1"/>
  <c r="M16" i="1"/>
  <c r="L16" i="1"/>
  <c r="K16" i="1"/>
  <c r="J16" i="1"/>
  <c r="I16" i="1"/>
  <c r="G16" i="1"/>
  <c r="F16" i="1"/>
  <c r="E16" i="1"/>
  <c r="D16" i="1"/>
  <c r="C16" i="1"/>
  <c r="S15" i="1"/>
  <c r="R15" i="1"/>
  <c r="Q15" i="1"/>
  <c r="P15" i="1"/>
  <c r="M15" i="1"/>
  <c r="L15" i="1"/>
  <c r="K15" i="1"/>
  <c r="J15" i="1"/>
  <c r="I15" i="1"/>
  <c r="G15" i="1"/>
  <c r="F15" i="1"/>
  <c r="E15" i="1"/>
  <c r="D15" i="1"/>
  <c r="M7" i="1"/>
  <c r="L7" i="1"/>
  <c r="K7" i="1"/>
  <c r="I7" i="1"/>
  <c r="H7" i="1"/>
  <c r="G7" i="1"/>
  <c r="E7" i="1"/>
  <c r="D7" i="1"/>
  <c r="C7" i="1"/>
  <c r="M6" i="1"/>
  <c r="L6" i="1"/>
  <c r="K6" i="1"/>
  <c r="I6" i="1"/>
  <c r="H6" i="1"/>
  <c r="G6" i="1"/>
  <c r="E6" i="1"/>
  <c r="D6" i="1"/>
  <c r="C6" i="1"/>
</calcChain>
</file>

<file path=xl/sharedStrings.xml><?xml version="1.0" encoding="utf-8"?>
<sst xmlns="http://schemas.openxmlformats.org/spreadsheetml/2006/main" count="57" uniqueCount="20">
  <si>
    <t>KYSE410</t>
  </si>
  <si>
    <t>KYSE510</t>
  </si>
  <si>
    <t>HCT116</t>
  </si>
  <si>
    <t>FigureS2A</t>
    <phoneticPr fontId="4" type="noConversion"/>
  </si>
  <si>
    <t>PD-L1 level</t>
  </si>
  <si>
    <t>Cont</t>
  </si>
  <si>
    <t>R59022 25 µM</t>
    <phoneticPr fontId="4" type="noConversion"/>
  </si>
  <si>
    <t>R59022 50 µM</t>
    <phoneticPr fontId="4" type="noConversion"/>
  </si>
  <si>
    <t>Mean</t>
  </si>
  <si>
    <t>SD</t>
  </si>
  <si>
    <t>FigureS2D</t>
    <phoneticPr fontId="4" type="noConversion"/>
  </si>
  <si>
    <t>DGKα sh1</t>
  </si>
  <si>
    <t>DGKα sh2</t>
  </si>
  <si>
    <t>DGKα sh1+PA</t>
  </si>
  <si>
    <t>DGKα sh2+PA</t>
  </si>
  <si>
    <t>FigureS2F</t>
    <phoneticPr fontId="4" type="noConversion"/>
  </si>
  <si>
    <t>Cell count</t>
  </si>
  <si>
    <t>R59022</t>
  </si>
  <si>
    <t>Cont-T cell</t>
  </si>
  <si>
    <t>R59022-T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</si>
</sst>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5" fillId="0" borderId="0" xfId="0" applyFont="1" applyAlignment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C8B4-C975-4D42-91D6-C2A7188A3165}">
  <dimension ref="A1:S29"/>
  <sheetViews>
    <sheetView tabSelected="1" zoomScale="70" zoomScaleNormal="70" workbookViewId="0">
      <selection activeCell="W11" sqref="W11"/>
    </sheetView>
  </sheetViews>
  <sheetFormatPr defaultRowHeight="13.9" x14ac:dyDescent="0.4"/>
  <cols>
    <col min="1" max="1" width="17.19921875" style="1" customWidth="1"/>
    <col min="2" max="2" width="13.265625" style="1" customWidth="1"/>
    <col min="3" max="3" width="9" style="1"/>
    <col min="4" max="4" width="12.53125" style="1" customWidth="1"/>
    <col min="5" max="5" width="12.796875" style="1" customWidth="1"/>
    <col min="6" max="6" width="13" style="1" customWidth="1"/>
    <col min="7" max="7" width="12.796875" style="1" customWidth="1"/>
    <col min="8" max="8" width="12.33203125" style="1" customWidth="1"/>
    <col min="9" max="9" width="12.53125" style="1" customWidth="1"/>
    <col min="10" max="10" width="12.33203125" style="1" customWidth="1"/>
    <col min="11" max="11" width="13.59765625" style="1" customWidth="1"/>
    <col min="12" max="12" width="13.06640625" style="1" customWidth="1"/>
    <col min="13" max="13" width="13.796875" style="1" customWidth="1"/>
    <col min="14" max="14" width="9" style="1"/>
    <col min="15" max="15" width="12.9296875" style="1" customWidth="1"/>
    <col min="16" max="16" width="14.19921875" style="1" customWidth="1"/>
    <col min="17" max="19" width="9.06640625" style="1"/>
  </cols>
  <sheetData>
    <row r="1" spans="1:19" x14ac:dyDescent="0.4">
      <c r="C1" s="2" t="s">
        <v>0</v>
      </c>
      <c r="D1" s="2"/>
      <c r="E1" s="2"/>
      <c r="G1" s="2" t="s">
        <v>1</v>
      </c>
      <c r="H1" s="2"/>
      <c r="I1" s="2"/>
      <c r="K1" s="2" t="s">
        <v>2</v>
      </c>
      <c r="L1" s="2"/>
      <c r="M1" s="2"/>
    </row>
    <row r="2" spans="1:19" x14ac:dyDescent="0.4">
      <c r="A2" s="3" t="s">
        <v>3</v>
      </c>
      <c r="B2" s="4" t="s">
        <v>4</v>
      </c>
      <c r="C2" s="1" t="s">
        <v>5</v>
      </c>
      <c r="D2" s="1" t="s">
        <v>6</v>
      </c>
      <c r="E2" s="1" t="s">
        <v>7</v>
      </c>
      <c r="G2" s="1" t="s">
        <v>5</v>
      </c>
      <c r="H2" s="1" t="s">
        <v>6</v>
      </c>
      <c r="I2" s="1" t="s">
        <v>7</v>
      </c>
      <c r="K2" s="1" t="s">
        <v>5</v>
      </c>
      <c r="L2" s="1" t="s">
        <v>6</v>
      </c>
      <c r="M2" s="1" t="s">
        <v>7</v>
      </c>
    </row>
    <row r="3" spans="1:19" x14ac:dyDescent="0.4">
      <c r="C3" s="1">
        <v>1.0165329999999999</v>
      </c>
      <c r="D3" s="1">
        <v>0.50139199999999995</v>
      </c>
      <c r="E3" s="1">
        <v>0.225026</v>
      </c>
      <c r="G3" s="1">
        <v>1.052667</v>
      </c>
      <c r="H3" s="1">
        <v>0.476159</v>
      </c>
      <c r="I3" s="1">
        <v>0.170128</v>
      </c>
      <c r="K3" s="1">
        <v>1.0813060000000001</v>
      </c>
      <c r="L3" s="1">
        <v>0.49697999999999998</v>
      </c>
      <c r="M3" s="1">
        <v>0.18857099999999999</v>
      </c>
    </row>
    <row r="4" spans="1:19" x14ac:dyDescent="0.4">
      <c r="C4" s="1">
        <v>1.0306299999999999</v>
      </c>
      <c r="D4" s="1">
        <v>0.55743100000000001</v>
      </c>
      <c r="E4" s="1">
        <v>0.254612</v>
      </c>
      <c r="G4" s="1">
        <v>0.94018900000000005</v>
      </c>
      <c r="H4" s="1">
        <v>0.42033599999999999</v>
      </c>
      <c r="I4" s="1">
        <v>0.18723999999999999</v>
      </c>
      <c r="K4" s="1">
        <v>0.91249000000000002</v>
      </c>
      <c r="L4" s="1">
        <v>0.42138799999999998</v>
      </c>
      <c r="M4" s="1">
        <v>0.249143</v>
      </c>
    </row>
    <row r="5" spans="1:19" x14ac:dyDescent="0.4">
      <c r="C5" s="1">
        <v>0.95283700000000005</v>
      </c>
      <c r="D5" s="1">
        <v>0.59954799999999997</v>
      </c>
      <c r="E5" s="1">
        <v>0.28489399999999998</v>
      </c>
      <c r="G5" s="1">
        <v>1.007144</v>
      </c>
      <c r="H5" s="1">
        <v>0.46834999999999999</v>
      </c>
      <c r="I5" s="1">
        <v>0.221798</v>
      </c>
      <c r="K5" s="1">
        <v>1.0062040000000001</v>
      </c>
      <c r="L5" s="1">
        <v>0.377469</v>
      </c>
      <c r="M5" s="1">
        <v>0.26008199999999998</v>
      </c>
    </row>
    <row r="6" spans="1:19" x14ac:dyDescent="0.4">
      <c r="A6" s="5"/>
      <c r="B6" s="5" t="s">
        <v>8</v>
      </c>
      <c r="C6" s="5">
        <f>AVERAGE(C3:C5)</f>
        <v>1</v>
      </c>
      <c r="D6" s="5">
        <f t="shared" ref="D6:M6" si="0">AVERAGE(D3:D5)</f>
        <v>0.55279033333333327</v>
      </c>
      <c r="E6" s="5">
        <f t="shared" si="0"/>
        <v>0.25484400000000001</v>
      </c>
      <c r="F6" s="5"/>
      <c r="G6" s="5">
        <f t="shared" si="0"/>
        <v>1</v>
      </c>
      <c r="H6" s="5">
        <f t="shared" si="0"/>
        <v>0.45494833333333334</v>
      </c>
      <c r="I6" s="5">
        <f t="shared" si="0"/>
        <v>0.19305533333333336</v>
      </c>
      <c r="J6" s="5"/>
      <c r="K6" s="5">
        <f t="shared" si="0"/>
        <v>1</v>
      </c>
      <c r="L6" s="5">
        <f t="shared" si="0"/>
        <v>0.43194566666666662</v>
      </c>
      <c r="M6" s="5">
        <f t="shared" si="0"/>
        <v>0.23259866666666665</v>
      </c>
      <c r="N6" s="5"/>
      <c r="O6" s="5"/>
      <c r="P6" s="5"/>
      <c r="Q6" s="5"/>
      <c r="R6" s="5"/>
      <c r="S6" s="5"/>
    </row>
    <row r="7" spans="1:19" x14ac:dyDescent="0.4">
      <c r="A7" s="5"/>
      <c r="B7" s="5" t="s">
        <v>9</v>
      </c>
      <c r="C7" s="5">
        <f>STDEV(C3:C5)</f>
        <v>4.1448073284532712E-2</v>
      </c>
      <c r="D7" s="5">
        <f t="shared" ref="D7:M7" si="1">STDEV(D3:D5)</f>
        <v>4.9242277814225195E-2</v>
      </c>
      <c r="E7" s="5">
        <f t="shared" si="1"/>
        <v>2.993467427582935E-2</v>
      </c>
      <c r="F7" s="5"/>
      <c r="G7" s="5">
        <f t="shared" si="1"/>
        <v>5.6578287999903269E-2</v>
      </c>
      <c r="H7" s="5">
        <f t="shared" si="1"/>
        <v>3.0228386234354847E-2</v>
      </c>
      <c r="I7" s="5">
        <f t="shared" si="1"/>
        <v>2.632129938535167E-2</v>
      </c>
      <c r="J7" s="5"/>
      <c r="K7" s="5">
        <f t="shared" si="1"/>
        <v>8.4578825222392434E-2</v>
      </c>
      <c r="L7" s="5">
        <f t="shared" si="1"/>
        <v>6.0450955528704081E-2</v>
      </c>
      <c r="M7" s="5">
        <f t="shared" si="1"/>
        <v>3.8519371806057995E-2</v>
      </c>
      <c r="N7" s="5"/>
      <c r="O7" s="5"/>
      <c r="P7" s="5"/>
      <c r="Q7" s="5"/>
      <c r="R7" s="5"/>
      <c r="S7" s="5"/>
    </row>
    <row r="10" spans="1:19" x14ac:dyDescent="0.4">
      <c r="C10" s="2" t="s">
        <v>0</v>
      </c>
      <c r="D10" s="2"/>
      <c r="E10" s="2"/>
      <c r="F10" s="2"/>
      <c r="G10" s="2"/>
      <c r="I10" s="2" t="s">
        <v>1</v>
      </c>
      <c r="J10" s="2"/>
      <c r="K10" s="2"/>
      <c r="L10" s="2"/>
      <c r="M10" s="2"/>
      <c r="O10" s="2" t="s">
        <v>2</v>
      </c>
      <c r="P10" s="2"/>
      <c r="Q10" s="2"/>
      <c r="R10" s="2"/>
      <c r="S10" s="2"/>
    </row>
    <row r="11" spans="1:19" x14ac:dyDescent="0.4">
      <c r="A11" s="3" t="s">
        <v>10</v>
      </c>
      <c r="B11" s="4" t="s">
        <v>4</v>
      </c>
      <c r="C11" s="1" t="s">
        <v>5</v>
      </c>
      <c r="D11" s="1" t="s">
        <v>11</v>
      </c>
      <c r="E11" s="1" t="s">
        <v>12</v>
      </c>
      <c r="F11" s="1" t="s">
        <v>13</v>
      </c>
      <c r="G11" s="1" t="s">
        <v>14</v>
      </c>
      <c r="I11" s="1" t="s">
        <v>5</v>
      </c>
      <c r="J11" s="1" t="s">
        <v>11</v>
      </c>
      <c r="K11" s="1" t="s">
        <v>12</v>
      </c>
      <c r="L11" s="1" t="s">
        <v>13</v>
      </c>
      <c r="M11" s="1" t="s">
        <v>14</v>
      </c>
      <c r="O11" s="1" t="s">
        <v>5</v>
      </c>
      <c r="P11" s="1" t="s">
        <v>11</v>
      </c>
      <c r="Q11" s="1" t="s">
        <v>12</v>
      </c>
      <c r="R11" s="1" t="s">
        <v>13</v>
      </c>
      <c r="S11" s="1" t="s">
        <v>14</v>
      </c>
    </row>
    <row r="12" spans="1:19" x14ac:dyDescent="0.4">
      <c r="C12" s="1">
        <v>1.0011760000000001</v>
      </c>
      <c r="D12" s="1">
        <v>0.27062700000000001</v>
      </c>
      <c r="E12" s="1">
        <v>0.24993299999999999</v>
      </c>
      <c r="F12" s="1">
        <v>0.93636699999999995</v>
      </c>
      <c r="G12" s="1">
        <v>0.96492199999999995</v>
      </c>
      <c r="I12" s="1">
        <v>1.005081785</v>
      </c>
      <c r="J12" s="6">
        <v>0.34032078799999999</v>
      </c>
      <c r="K12" s="6">
        <v>0.390185803</v>
      </c>
      <c r="L12" s="6">
        <v>0.94822931600000004</v>
      </c>
      <c r="M12" s="6">
        <v>0.990312847</v>
      </c>
      <c r="O12" s="1">
        <v>1.015773</v>
      </c>
      <c r="P12" s="1">
        <v>0.25304199999999999</v>
      </c>
      <c r="Q12" s="1">
        <v>0.37196400000000002</v>
      </c>
      <c r="R12" s="1">
        <v>0.91769000000000001</v>
      </c>
      <c r="S12" s="6">
        <v>0.988981</v>
      </c>
    </row>
    <row r="13" spans="1:19" x14ac:dyDescent="0.4">
      <c r="C13" s="1">
        <v>0.97582999999999998</v>
      </c>
      <c r="D13" s="1">
        <v>0.291161</v>
      </c>
      <c r="E13" s="1">
        <v>0.292605</v>
      </c>
      <c r="F13" s="1">
        <v>0.87155800000000005</v>
      </c>
      <c r="G13" s="1">
        <v>0.93460200000000004</v>
      </c>
      <c r="I13" s="1">
        <v>1.0409718910000001</v>
      </c>
      <c r="J13" s="6">
        <v>0.28362712400000001</v>
      </c>
      <c r="K13" s="6">
        <v>0.33809750700000002</v>
      </c>
      <c r="L13" s="6">
        <v>0.84834047999999995</v>
      </c>
      <c r="M13" s="6">
        <v>0.92488486599999997</v>
      </c>
      <c r="O13" s="1">
        <v>1.0279940000000001</v>
      </c>
      <c r="P13" s="1">
        <v>0.29628700000000002</v>
      </c>
      <c r="Q13" s="1">
        <v>0.33921800000000002</v>
      </c>
      <c r="R13" s="1">
        <v>0.84232600000000002</v>
      </c>
      <c r="S13" s="1">
        <v>0.894814</v>
      </c>
    </row>
    <row r="14" spans="1:19" x14ac:dyDescent="0.4">
      <c r="C14" s="1">
        <v>1.022993</v>
      </c>
      <c r="D14" s="1">
        <v>0.308647</v>
      </c>
      <c r="E14" s="1">
        <v>0.27784599999999998</v>
      </c>
      <c r="F14" s="1">
        <v>0.95080500000000001</v>
      </c>
      <c r="G14" s="1">
        <v>0.90556700000000001</v>
      </c>
      <c r="I14" s="1">
        <v>0.95394632400000001</v>
      </c>
      <c r="J14" s="6">
        <v>0.32047006500000003</v>
      </c>
      <c r="K14" s="6">
        <v>0.32841035400000002</v>
      </c>
      <c r="L14" s="6">
        <v>0.91154517999999995</v>
      </c>
      <c r="M14" s="6">
        <v>0.91075115100000004</v>
      </c>
      <c r="O14" s="1">
        <v>0.95623400000000003</v>
      </c>
      <c r="P14" s="1">
        <v>0.23894099999999999</v>
      </c>
      <c r="Q14" s="1">
        <v>0.31414900000000001</v>
      </c>
      <c r="R14" s="1">
        <v>0.84890600000000005</v>
      </c>
      <c r="S14" s="1">
        <v>0.88619700000000001</v>
      </c>
    </row>
    <row r="15" spans="1:19" x14ac:dyDescent="0.4">
      <c r="A15" s="5"/>
      <c r="B15" s="5" t="s">
        <v>8</v>
      </c>
      <c r="C15" s="5">
        <v>1</v>
      </c>
      <c r="D15" s="5">
        <f t="shared" ref="D15:S15" si="2">AVERAGE(D12:D14)</f>
        <v>0.29014499999999999</v>
      </c>
      <c r="E15" s="5">
        <f t="shared" si="2"/>
        <v>0.27346133333333333</v>
      </c>
      <c r="F15" s="5">
        <f t="shared" si="2"/>
        <v>0.9195766666666666</v>
      </c>
      <c r="G15" s="5">
        <f t="shared" si="2"/>
        <v>0.9350303333333333</v>
      </c>
      <c r="H15" s="5"/>
      <c r="I15" s="5">
        <f t="shared" si="2"/>
        <v>1</v>
      </c>
      <c r="J15" s="5">
        <f t="shared" si="2"/>
        <v>0.31480599233333334</v>
      </c>
      <c r="K15" s="5">
        <f t="shared" si="2"/>
        <v>0.35223122133333334</v>
      </c>
      <c r="L15" s="5">
        <f t="shared" si="2"/>
        <v>0.90270499199999998</v>
      </c>
      <c r="M15" s="5">
        <f t="shared" si="2"/>
        <v>0.94198295466666659</v>
      </c>
      <c r="N15" s="5"/>
      <c r="O15" s="5">
        <v>1</v>
      </c>
      <c r="P15" s="5">
        <f t="shared" si="2"/>
        <v>0.26275666666666664</v>
      </c>
      <c r="Q15" s="5">
        <f t="shared" si="2"/>
        <v>0.341777</v>
      </c>
      <c r="R15" s="5">
        <f t="shared" si="2"/>
        <v>0.86964066666666673</v>
      </c>
      <c r="S15" s="5">
        <f t="shared" si="2"/>
        <v>0.92333066666666674</v>
      </c>
    </row>
    <row r="16" spans="1:19" x14ac:dyDescent="0.4">
      <c r="A16" s="5"/>
      <c r="B16" s="5" t="s">
        <v>9</v>
      </c>
      <c r="C16" s="5">
        <f>STDEV(C12:C14)</f>
        <v>2.3603494705939945E-2</v>
      </c>
      <c r="D16" s="5">
        <f t="shared" ref="D16:S16" si="3">STDEV(D12:D14)</f>
        <v>1.9030351862222621E-2</v>
      </c>
      <c r="E16" s="5">
        <f t="shared" si="3"/>
        <v>2.1671268360050677E-2</v>
      </c>
      <c r="F16" s="5">
        <f t="shared" si="3"/>
        <v>4.2207324273558618E-2</v>
      </c>
      <c r="G16" s="5">
        <f t="shared" si="3"/>
        <v>2.9679818199128703E-2</v>
      </c>
      <c r="H16" s="5"/>
      <c r="I16" s="5">
        <f t="shared" si="3"/>
        <v>4.3734777145968677E-2</v>
      </c>
      <c r="J16" s="5">
        <f t="shared" si="3"/>
        <v>2.87681103622776E-2</v>
      </c>
      <c r="K16" s="5">
        <f t="shared" si="3"/>
        <v>3.3224583299570572E-2</v>
      </c>
      <c r="L16" s="5">
        <f t="shared" si="3"/>
        <v>5.0527780302178686E-2</v>
      </c>
      <c r="M16" s="5">
        <f t="shared" si="3"/>
        <v>4.244731257263526E-2</v>
      </c>
      <c r="N16" s="5"/>
      <c r="O16" s="5">
        <f t="shared" si="3"/>
        <v>3.8392149722740646E-2</v>
      </c>
      <c r="P16" s="5">
        <f t="shared" si="3"/>
        <v>2.9881800319480994E-2</v>
      </c>
      <c r="Q16" s="5">
        <f t="shared" si="3"/>
        <v>2.8992325139595137E-2</v>
      </c>
      <c r="R16" s="5">
        <f t="shared" si="3"/>
        <v>4.1741800695865194E-2</v>
      </c>
      <c r="S16" s="5">
        <f t="shared" si="3"/>
        <v>5.7017873270872994E-2</v>
      </c>
    </row>
    <row r="21" spans="1:19" x14ac:dyDescent="0.4">
      <c r="C21" s="2" t="s">
        <v>0</v>
      </c>
      <c r="D21" s="2"/>
      <c r="E21" s="2"/>
      <c r="F21" s="2"/>
      <c r="H21" s="2" t="s">
        <v>1</v>
      </c>
      <c r="I21" s="2"/>
      <c r="J21" s="2"/>
      <c r="K21" s="2"/>
      <c r="M21" s="2" t="s">
        <v>2</v>
      </c>
      <c r="N21" s="2"/>
      <c r="O21" s="2"/>
      <c r="P21" s="2"/>
    </row>
    <row r="22" spans="1:19" x14ac:dyDescent="0.4">
      <c r="A22" s="3" t="s">
        <v>15</v>
      </c>
      <c r="B22" s="4" t="s">
        <v>16</v>
      </c>
      <c r="C22" s="1" t="s">
        <v>5</v>
      </c>
      <c r="D22" s="1" t="s">
        <v>17</v>
      </c>
      <c r="E22" s="1" t="s">
        <v>18</v>
      </c>
      <c r="F22" s="1" t="s">
        <v>19</v>
      </c>
      <c r="H22" s="1" t="s">
        <v>5</v>
      </c>
      <c r="I22" s="1" t="s">
        <v>17</v>
      </c>
      <c r="J22" s="1" t="s">
        <v>18</v>
      </c>
      <c r="K22" s="1" t="s">
        <v>19</v>
      </c>
      <c r="M22" s="1" t="s">
        <v>5</v>
      </c>
      <c r="N22" s="1" t="s">
        <v>17</v>
      </c>
      <c r="O22" s="1" t="s">
        <v>18</v>
      </c>
      <c r="P22" s="1" t="s">
        <v>19</v>
      </c>
    </row>
    <row r="23" spans="1:19" x14ac:dyDescent="0.4">
      <c r="C23" s="1">
        <v>1.0250490000000001</v>
      </c>
      <c r="D23" s="1">
        <v>0.56192600000000004</v>
      </c>
      <c r="E23" s="1">
        <v>0.31895400000000002</v>
      </c>
      <c r="F23" s="1">
        <v>0.224047</v>
      </c>
      <c r="H23" s="6">
        <v>1.012702</v>
      </c>
      <c r="I23" s="1">
        <v>0.57237400000000005</v>
      </c>
      <c r="J23" s="1">
        <v>0.42789100000000002</v>
      </c>
      <c r="K23" s="1">
        <v>0.25774000000000002</v>
      </c>
      <c r="M23" s="1">
        <v>0.98526199999999997</v>
      </c>
      <c r="N23" s="1">
        <v>0.419595</v>
      </c>
      <c r="O23" s="1">
        <v>0.37317699999999998</v>
      </c>
      <c r="P23" s="1">
        <v>0.21478</v>
      </c>
    </row>
    <row r="24" spans="1:19" x14ac:dyDescent="0.4">
      <c r="C24" s="1">
        <v>1.0832170000000001</v>
      </c>
      <c r="D24" s="1">
        <v>0.49095499999999997</v>
      </c>
      <c r="E24" s="1">
        <v>0.344559</v>
      </c>
      <c r="F24" s="1">
        <v>0.23211799999999999</v>
      </c>
      <c r="H24" s="6">
        <v>0.91479200000000005</v>
      </c>
      <c r="I24" s="1">
        <v>0.52262500000000001</v>
      </c>
      <c r="J24" s="1">
        <v>0.44694400000000001</v>
      </c>
      <c r="K24" s="1">
        <v>0.263297</v>
      </c>
      <c r="M24" s="1">
        <v>0.93727099999999997</v>
      </c>
      <c r="N24" s="1">
        <v>0.52842800000000001</v>
      </c>
      <c r="O24" s="1">
        <v>0.43559199999999998</v>
      </c>
      <c r="P24" s="1">
        <v>0.21687799999999999</v>
      </c>
    </row>
    <row r="25" spans="1:19" x14ac:dyDescent="0.4">
      <c r="C25" s="1">
        <v>0.96715799999999996</v>
      </c>
      <c r="D25" s="1">
        <v>0.461175</v>
      </c>
      <c r="E25" s="1">
        <v>0.43529099999999998</v>
      </c>
      <c r="F25" s="1">
        <v>0.25688800000000001</v>
      </c>
      <c r="H25" s="1">
        <v>1.0351939999999999</v>
      </c>
      <c r="I25" s="1">
        <v>0.64355600000000002</v>
      </c>
      <c r="J25" s="1">
        <v>0.43239</v>
      </c>
      <c r="K25" s="1">
        <v>0.26779599999999998</v>
      </c>
      <c r="M25" s="1">
        <v>1.012535</v>
      </c>
      <c r="N25" s="1">
        <v>0.493811</v>
      </c>
      <c r="O25" s="1">
        <v>0.40595799999999999</v>
      </c>
      <c r="P25" s="1">
        <v>0.227106</v>
      </c>
    </row>
    <row r="26" spans="1:19" x14ac:dyDescent="0.4">
      <c r="C26" s="6">
        <v>0.99276399999999998</v>
      </c>
      <c r="D26" s="6">
        <v>0.60450899999999996</v>
      </c>
      <c r="E26" s="6">
        <v>0.36098000000000002</v>
      </c>
      <c r="F26" s="6">
        <v>0.22989100000000001</v>
      </c>
      <c r="H26" s="1">
        <v>1.0550409999999999</v>
      </c>
      <c r="I26" s="1">
        <v>0.59565999999999997</v>
      </c>
      <c r="J26" s="1">
        <v>0.439799</v>
      </c>
      <c r="K26" s="1">
        <v>0.24742</v>
      </c>
      <c r="M26" s="1">
        <v>1.0468900000000001</v>
      </c>
      <c r="N26" s="1">
        <v>0.51898699999999998</v>
      </c>
      <c r="O26" s="1">
        <v>0.36059000000000002</v>
      </c>
      <c r="P26" s="1">
        <v>0.24310300000000001</v>
      </c>
    </row>
    <row r="27" spans="1:19" x14ac:dyDescent="0.4">
      <c r="C27" s="6">
        <v>0.93181199999999997</v>
      </c>
      <c r="D27" s="6">
        <v>0.51656000000000002</v>
      </c>
      <c r="E27" s="6">
        <v>0.30114099999999999</v>
      </c>
      <c r="F27" s="6">
        <v>0.20901800000000001</v>
      </c>
      <c r="H27" s="1">
        <v>0.98226999999999998</v>
      </c>
      <c r="I27" s="1">
        <v>0.60994999999999999</v>
      </c>
      <c r="J27" s="1">
        <v>0.46149800000000002</v>
      </c>
      <c r="K27" s="1">
        <v>0.25033100000000003</v>
      </c>
      <c r="L27" s="6"/>
      <c r="M27" s="1">
        <v>1.018043</v>
      </c>
      <c r="N27" s="1">
        <v>0.45526100000000003</v>
      </c>
      <c r="O27" s="1">
        <v>0.45971899999999999</v>
      </c>
      <c r="P27" s="1">
        <v>0.21032200000000001</v>
      </c>
    </row>
    <row r="28" spans="1:19" x14ac:dyDescent="0.4">
      <c r="A28" s="5"/>
      <c r="B28" s="5" t="s">
        <v>8</v>
      </c>
      <c r="C28" s="5">
        <f>AVERAGE(C23:C27)</f>
        <v>1</v>
      </c>
      <c r="D28" s="5">
        <f t="shared" ref="D28:F28" si="4">AVERAGE(D23:D27)</f>
        <v>0.52702500000000008</v>
      </c>
      <c r="E28" s="5">
        <f t="shared" si="4"/>
        <v>0.35218499999999997</v>
      </c>
      <c r="F28" s="5">
        <f t="shared" si="4"/>
        <v>0.2303924</v>
      </c>
      <c r="G28" s="5"/>
      <c r="H28" s="5">
        <f t="shared" ref="H28:K28" si="5">AVERAGE(H23:H27)</f>
        <v>0.99999979999999999</v>
      </c>
      <c r="I28" s="5">
        <f t="shared" si="5"/>
        <v>0.58883299999999994</v>
      </c>
      <c r="J28" s="5">
        <f t="shared" si="5"/>
        <v>0.44170440000000005</v>
      </c>
      <c r="K28" s="5">
        <f t="shared" si="5"/>
        <v>0.25731680000000001</v>
      </c>
      <c r="L28" s="5"/>
      <c r="M28" s="5">
        <f t="shared" ref="M28:P28" si="6">AVERAGE(M23:M27)</f>
        <v>1.0000002000000001</v>
      </c>
      <c r="N28" s="5">
        <f t="shared" si="6"/>
        <v>0.48321640000000005</v>
      </c>
      <c r="O28" s="5">
        <f t="shared" si="6"/>
        <v>0.40700719999999996</v>
      </c>
      <c r="P28" s="5">
        <f t="shared" si="6"/>
        <v>0.22243779999999996</v>
      </c>
      <c r="Q28" s="5"/>
      <c r="R28" s="5"/>
      <c r="S28" s="5"/>
    </row>
    <row r="29" spans="1:19" x14ac:dyDescent="0.4">
      <c r="A29" s="5"/>
      <c r="B29" s="5" t="s">
        <v>9</v>
      </c>
      <c r="C29" s="5">
        <f>STDEV(C23:C27)</f>
        <v>5.7734481668237109E-2</v>
      </c>
      <c r="D29" s="5">
        <f t="shared" ref="D29:P29" si="7">STDEV(D23:D27)</f>
        <v>5.6939954517895422E-2</v>
      </c>
      <c r="E29" s="5">
        <f t="shared" si="7"/>
        <v>5.1845695178096042E-2</v>
      </c>
      <c r="F29" s="5">
        <f t="shared" si="7"/>
        <v>1.7337639640389344E-2</v>
      </c>
      <c r="G29" s="5"/>
      <c r="H29" s="5">
        <f t="shared" si="7"/>
        <v>5.4781900032766243E-2</v>
      </c>
      <c r="I29" s="5">
        <f t="shared" si="7"/>
        <v>4.5115242136111823E-2</v>
      </c>
      <c r="J29" s="5">
        <f t="shared" si="7"/>
        <v>1.3232900524828261E-2</v>
      </c>
      <c r="K29" s="5">
        <f t="shared" si="7"/>
        <v>8.5513679432006554E-3</v>
      </c>
      <c r="L29" s="5"/>
      <c r="M29" s="5">
        <f t="shared" si="7"/>
        <v>4.1332445665602756E-2</v>
      </c>
      <c r="N29" s="5">
        <f t="shared" si="7"/>
        <v>4.5456179654696019E-2</v>
      </c>
      <c r="O29" s="5">
        <f t="shared" si="7"/>
        <v>4.1520369575667307E-2</v>
      </c>
      <c r="P29" s="5">
        <f t="shared" si="7"/>
        <v>1.3088052460163816E-2</v>
      </c>
      <c r="Q29" s="5"/>
      <c r="R29" s="5"/>
      <c r="S29" s="5"/>
    </row>
  </sheetData>
  <mergeCells count="9">
    <mergeCell ref="C21:F21"/>
    <mergeCell ref="H21:K21"/>
    <mergeCell ref="M21:P21"/>
    <mergeCell ref="C1:E1"/>
    <mergeCell ref="G1:I1"/>
    <mergeCell ref="K1:M1"/>
    <mergeCell ref="C10:G10"/>
    <mergeCell ref="I10:M10"/>
    <mergeCell ref="O10:S10"/>
  </mergeCells>
  <phoneticPr fontId="2" type="noConversion"/>
  <conditionalFormatting sqref="O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2026-02-10T09:31:46Z</dcterms:created>
  <dcterms:modified xsi:type="dcterms:W3CDTF">2026-02-10T09:32:07Z</dcterms:modified>
</cp:coreProperties>
</file>