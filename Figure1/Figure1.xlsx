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博后工作\DGKA\IMeta\Correspo\20260204 proof\V2\Source data\Figure1\"/>
    </mc:Choice>
  </mc:AlternateContent>
  <xr:revisionPtr revIDLastSave="0" documentId="8_{CC4EF674-1143-419D-9CBE-BF88E89E3E3E}" xr6:coauthVersionLast="47" xr6:coauthVersionMax="47" xr10:uidLastSave="{00000000-0000-0000-0000-000000000000}"/>
  <bookViews>
    <workbookView xWindow="-98" yWindow="-98" windowWidth="23236" windowHeight="13875" xr2:uid="{2B1ABE58-6B0A-4FE0-A928-27A61448D3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5" i="1" l="1"/>
  <c r="G75" i="1"/>
  <c r="F75" i="1"/>
  <c r="E75" i="1"/>
  <c r="D75" i="1"/>
  <c r="C75" i="1"/>
  <c r="H74" i="1"/>
  <c r="G74" i="1"/>
  <c r="F74" i="1"/>
  <c r="E74" i="1"/>
  <c r="D74" i="1"/>
  <c r="C74" i="1"/>
  <c r="M63" i="1"/>
  <c r="L63" i="1"/>
  <c r="H63" i="1"/>
  <c r="G63" i="1"/>
  <c r="M62" i="1"/>
  <c r="L62" i="1"/>
  <c r="H62" i="1"/>
  <c r="G62" i="1"/>
  <c r="M61" i="1"/>
  <c r="L61" i="1"/>
  <c r="H61" i="1"/>
  <c r="G61" i="1"/>
  <c r="M60" i="1"/>
  <c r="L60" i="1"/>
  <c r="H60" i="1"/>
  <c r="G60" i="1"/>
  <c r="M59" i="1"/>
  <c r="L59" i="1"/>
  <c r="H59" i="1"/>
  <c r="G59" i="1"/>
  <c r="M58" i="1"/>
  <c r="L58" i="1"/>
  <c r="H58" i="1"/>
  <c r="G58" i="1"/>
  <c r="Y50" i="1"/>
  <c r="X50" i="1"/>
  <c r="T50" i="1"/>
  <c r="S50" i="1"/>
  <c r="M50" i="1"/>
  <c r="L50" i="1"/>
  <c r="H50" i="1"/>
  <c r="G50" i="1"/>
  <c r="Y49" i="1"/>
  <c r="X49" i="1"/>
  <c r="T49" i="1"/>
  <c r="S49" i="1"/>
  <c r="M49" i="1"/>
  <c r="L49" i="1"/>
  <c r="H49" i="1"/>
  <c r="G49" i="1"/>
  <c r="Y48" i="1"/>
  <c r="X48" i="1"/>
  <c r="T48" i="1"/>
  <c r="S48" i="1"/>
  <c r="M48" i="1"/>
  <c r="L48" i="1"/>
  <c r="H48" i="1"/>
  <c r="G48" i="1"/>
  <c r="Y47" i="1"/>
  <c r="X47" i="1"/>
  <c r="T47" i="1"/>
  <c r="S47" i="1"/>
  <c r="M47" i="1"/>
  <c r="L47" i="1"/>
  <c r="H47" i="1"/>
  <c r="G47" i="1"/>
  <c r="Y46" i="1"/>
  <c r="X46" i="1"/>
  <c r="T46" i="1"/>
  <c r="S46" i="1"/>
  <c r="M46" i="1"/>
  <c r="L46" i="1"/>
  <c r="H46" i="1"/>
  <c r="G46" i="1"/>
  <c r="Y45" i="1"/>
  <c r="X45" i="1"/>
  <c r="T45" i="1"/>
  <c r="S45" i="1"/>
  <c r="M45" i="1"/>
  <c r="L45" i="1"/>
  <c r="H45" i="1"/>
  <c r="G45" i="1"/>
  <c r="H37" i="1"/>
  <c r="G37" i="1"/>
  <c r="F37" i="1"/>
  <c r="E37" i="1"/>
  <c r="D37" i="1"/>
  <c r="C37" i="1"/>
  <c r="H36" i="1"/>
  <c r="G36" i="1"/>
  <c r="F36" i="1"/>
  <c r="E36" i="1"/>
  <c r="D36" i="1"/>
  <c r="C36" i="1"/>
  <c r="I27" i="1"/>
  <c r="H27" i="1"/>
  <c r="G27" i="1"/>
  <c r="E27" i="1"/>
  <c r="D27" i="1"/>
  <c r="C27" i="1"/>
  <c r="I26" i="1"/>
  <c r="H26" i="1"/>
  <c r="G26" i="1"/>
  <c r="E26" i="1"/>
  <c r="D26" i="1"/>
  <c r="C26" i="1"/>
  <c r="F17" i="1"/>
  <c r="E17" i="1"/>
  <c r="D17" i="1"/>
  <c r="C17" i="1"/>
  <c r="F16" i="1"/>
  <c r="E16" i="1"/>
  <c r="D16" i="1"/>
  <c r="C16" i="1"/>
  <c r="H8" i="1"/>
  <c r="G8" i="1"/>
  <c r="F8" i="1"/>
  <c r="E8" i="1"/>
  <c r="D8" i="1"/>
  <c r="C8" i="1"/>
  <c r="H7" i="1"/>
  <c r="G7" i="1"/>
  <c r="F7" i="1"/>
  <c r="E7" i="1"/>
  <c r="D7" i="1"/>
  <c r="C7" i="1"/>
</calcChain>
</file>

<file path=xl/sharedStrings.xml><?xml version="1.0" encoding="utf-8"?>
<sst xmlns="http://schemas.openxmlformats.org/spreadsheetml/2006/main" count="105" uniqueCount="40">
  <si>
    <t>Figure 1B</t>
    <phoneticPr fontId="3" type="noConversion"/>
  </si>
  <si>
    <t>CD274 fold enrichment</t>
  </si>
  <si>
    <t>Primer 1</t>
  </si>
  <si>
    <t>Primer 2</t>
  </si>
  <si>
    <t>Primer 3</t>
  </si>
  <si>
    <t>IgG</t>
  </si>
  <si>
    <t>NF-kB</t>
  </si>
  <si>
    <t>Mean</t>
  </si>
  <si>
    <t>SD</t>
  </si>
  <si>
    <t>Figure 1C</t>
    <phoneticPr fontId="3" type="noConversion"/>
  </si>
  <si>
    <t>KYSE410</t>
  </si>
  <si>
    <t>KYSE510</t>
  </si>
  <si>
    <t>DMSO</t>
    <phoneticPr fontId="3" type="noConversion"/>
  </si>
  <si>
    <t>R59022</t>
  </si>
  <si>
    <t>Figure 1D</t>
    <phoneticPr fontId="3" type="noConversion"/>
  </si>
  <si>
    <t>Cont sh</t>
    <phoneticPr fontId="3" type="noConversion"/>
  </si>
  <si>
    <t>DGKα sh</t>
  </si>
  <si>
    <t>DGKα sh+PA</t>
  </si>
  <si>
    <t>Figure 1E</t>
    <phoneticPr fontId="3" type="noConversion"/>
  </si>
  <si>
    <t>PD-L1 level</t>
  </si>
  <si>
    <t>HCT116</t>
  </si>
  <si>
    <t>JSH23</t>
  </si>
  <si>
    <t>Figure 1H and I</t>
    <phoneticPr fontId="3" type="noConversion"/>
  </si>
  <si>
    <t>WB Relative intensity</t>
  </si>
  <si>
    <r>
      <rPr>
        <sz val="11"/>
        <color theme="1"/>
        <rFont val="宋体"/>
        <family val="3"/>
        <charset val="134"/>
      </rPr>
      <t>℃</t>
    </r>
  </si>
  <si>
    <t>PA</t>
  </si>
  <si>
    <t>#1</t>
    <phoneticPr fontId="3" type="noConversion"/>
  </si>
  <si>
    <t>#2</t>
    <phoneticPr fontId="3" type="noConversion"/>
  </si>
  <si>
    <t>#3</t>
    <phoneticPr fontId="3" type="noConversion"/>
  </si>
  <si>
    <t>Figure 1J</t>
    <phoneticPr fontId="3" type="noConversion"/>
  </si>
  <si>
    <t>Fluorescence ratio</t>
  </si>
  <si>
    <t>℃</t>
  </si>
  <si>
    <t xml:space="preserve"> PA</t>
    <phoneticPr fontId="3" type="noConversion"/>
  </si>
  <si>
    <t>CD274 WT</t>
  </si>
  <si>
    <t>CD275 MUT</t>
  </si>
  <si>
    <t>Figure 1L</t>
    <phoneticPr fontId="3" type="noConversion"/>
  </si>
  <si>
    <t>Relative luciferase activity</t>
  </si>
  <si>
    <t>Vector</t>
  </si>
  <si>
    <t>NF-kB p65 OE</t>
  </si>
  <si>
    <t>NF-kB p66 OE+PA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</si>
</sst>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b/>
      <sz val="14"/>
      <color theme="1"/>
      <name val="Times New Roman"/>
      <family val="1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宋体"/>
      <family val="3"/>
      <charset val="134"/>
    </font>
    <font>
      <sz val="10"/>
      <name val="Times New Roman"/>
      <family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799920651875362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2" borderId="0" xfId="0" applyFont="1" applyFill="1">
      <alignment vertical="center"/>
    </xf>
    <xf numFmtId="0" fontId="4" fillId="3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/>
    <xf numFmtId="0" fontId="6" fillId="0" borderId="0" xfId="0" applyFont="1">
      <alignment vertical="center"/>
    </xf>
    <xf numFmtId="0" fontId="8" fillId="0" borderId="0" xfId="0" applyFont="1" applyAlignment="1"/>
  </cellXfs>
  <cellStyles count="1">
    <cellStyle name="常规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1A5AF-CF6E-4BCE-AB44-AC6812F46191}">
  <dimension ref="A2:Y75"/>
  <sheetViews>
    <sheetView tabSelected="1" zoomScale="85" zoomScaleNormal="85" workbookViewId="0">
      <selection activeCell="S49" sqref="S49"/>
    </sheetView>
  </sheetViews>
  <sheetFormatPr defaultColWidth="9" defaultRowHeight="17.649999999999999" x14ac:dyDescent="0.4"/>
  <cols>
    <col min="1" max="1" width="13.59765625" style="5" customWidth="1"/>
    <col min="2" max="2" width="22.59765625" style="4" customWidth="1"/>
    <col min="3" max="3" width="9" style="4"/>
    <col min="4" max="4" width="17.59765625" style="4" customWidth="1"/>
    <col min="5" max="5" width="15.33203125" style="4" customWidth="1"/>
    <col min="6" max="6" width="9" style="4"/>
    <col min="7" max="7" width="15.73046875" style="4" customWidth="1"/>
    <col min="8" max="8" width="15.796875" style="4" customWidth="1"/>
    <col min="9" max="9" width="12.59765625" style="4" customWidth="1"/>
    <col min="10" max="12" width="9" style="4"/>
    <col min="13" max="13" width="11.796875" style="4" customWidth="1"/>
    <col min="14" max="16384" width="9" style="4"/>
  </cols>
  <sheetData>
    <row r="2" spans="1:8" ht="17.25" x14ac:dyDescent="0.4">
      <c r="A2" s="1" t="s">
        <v>0</v>
      </c>
      <c r="B2" s="2" t="s">
        <v>1</v>
      </c>
      <c r="C2" s="3" t="s">
        <v>2</v>
      </c>
      <c r="D2" s="3"/>
      <c r="E2" s="3" t="s">
        <v>3</v>
      </c>
      <c r="F2" s="3"/>
      <c r="G2" s="3" t="s">
        <v>4</v>
      </c>
      <c r="H2" s="3"/>
    </row>
    <row r="3" spans="1:8" x14ac:dyDescent="0.4">
      <c r="C3" s="4" t="s">
        <v>5</v>
      </c>
      <c r="D3" s="4" t="s">
        <v>6</v>
      </c>
      <c r="E3" s="4" t="s">
        <v>5</v>
      </c>
      <c r="F3" s="4" t="s">
        <v>6</v>
      </c>
      <c r="G3" s="4" t="s">
        <v>5</v>
      </c>
      <c r="H3" s="4" t="s">
        <v>6</v>
      </c>
    </row>
    <row r="4" spans="1:8" x14ac:dyDescent="0.4">
      <c r="C4" s="4">
        <v>1.0092270000000001</v>
      </c>
      <c r="D4" s="4">
        <v>11.5182</v>
      </c>
      <c r="E4" s="4">
        <v>1.007976</v>
      </c>
      <c r="F4" s="4">
        <v>1.928626</v>
      </c>
      <c r="G4" s="4">
        <v>1.0378540000000001</v>
      </c>
      <c r="H4" s="4">
        <v>5.4028200000000002</v>
      </c>
    </row>
    <row r="5" spans="1:8" x14ac:dyDescent="0.4">
      <c r="C5" s="4">
        <v>1.013315</v>
      </c>
      <c r="D5" s="4">
        <v>9.6072710000000008</v>
      </c>
      <c r="E5" s="4">
        <v>1.1229530000000001</v>
      </c>
      <c r="F5" s="4">
        <v>1.6064480000000001</v>
      </c>
      <c r="G5" s="4">
        <v>0.93398899999999996</v>
      </c>
      <c r="H5" s="4">
        <v>6.0208940000000002</v>
      </c>
    </row>
    <row r="6" spans="1:8" x14ac:dyDescent="0.4">
      <c r="C6" s="4">
        <v>0.97783600000000004</v>
      </c>
      <c r="D6" s="4">
        <v>12.85989</v>
      </c>
      <c r="E6" s="4">
        <v>0.883463</v>
      </c>
      <c r="F6" s="4">
        <v>2.0918209999999999</v>
      </c>
      <c r="G6" s="4">
        <v>1.031625</v>
      </c>
      <c r="H6" s="4">
        <v>4.3713290000000002</v>
      </c>
    </row>
    <row r="7" spans="1:8" x14ac:dyDescent="0.4">
      <c r="B7" s="6" t="s">
        <v>7</v>
      </c>
      <c r="C7" s="6">
        <f>AVERAGE(C4:C6)</f>
        <v>1.0001260000000001</v>
      </c>
      <c r="D7" s="6">
        <f t="shared" ref="D7:H7" si="0">AVERAGE(D4:D6)</f>
        <v>11.328453666666666</v>
      </c>
      <c r="E7" s="6">
        <f t="shared" si="0"/>
        <v>1.0047973333333333</v>
      </c>
      <c r="F7" s="6">
        <f t="shared" si="0"/>
        <v>1.8756316666666664</v>
      </c>
      <c r="G7" s="6">
        <f t="shared" si="0"/>
        <v>1.0011559999999999</v>
      </c>
      <c r="H7" s="6">
        <f t="shared" si="0"/>
        <v>5.2650143333333332</v>
      </c>
    </row>
    <row r="8" spans="1:8" x14ac:dyDescent="0.4">
      <c r="B8" s="6" t="s">
        <v>8</v>
      </c>
      <c r="C8" s="6">
        <f>STDEV(C4:C6)</f>
        <v>1.9411620514526846E-2</v>
      </c>
      <c r="D8" s="6">
        <f t="shared" ref="D8:H8" si="1">STDEV(D4:D6)</f>
        <v>1.6345902676360144</v>
      </c>
      <c r="E8" s="6">
        <f t="shared" si="1"/>
        <v>0.11977663781528243</v>
      </c>
      <c r="F8" s="6">
        <f t="shared" si="1"/>
        <v>0.24698792846277981</v>
      </c>
      <c r="G8" s="6">
        <f t="shared" si="1"/>
        <v>5.8251648277108908E-2</v>
      </c>
      <c r="H8" s="6">
        <f t="shared" si="1"/>
        <v>0.83337204994548175</v>
      </c>
    </row>
    <row r="11" spans="1:8" ht="17.25" x14ac:dyDescent="0.4">
      <c r="A11" s="1" t="s">
        <v>9</v>
      </c>
      <c r="B11" s="2" t="s">
        <v>1</v>
      </c>
      <c r="C11" s="3" t="s">
        <v>10</v>
      </c>
      <c r="D11" s="3"/>
      <c r="E11" s="3" t="s">
        <v>11</v>
      </c>
      <c r="F11" s="3"/>
    </row>
    <row r="12" spans="1:8" x14ac:dyDescent="0.4">
      <c r="C12" s="4" t="s">
        <v>12</v>
      </c>
      <c r="D12" s="4" t="s">
        <v>13</v>
      </c>
      <c r="E12" s="4" t="s">
        <v>12</v>
      </c>
      <c r="F12" s="4" t="s">
        <v>13</v>
      </c>
    </row>
    <row r="13" spans="1:8" x14ac:dyDescent="0.4">
      <c r="C13" s="4">
        <v>1.038772</v>
      </c>
      <c r="D13" s="4">
        <v>0.40894900000000001</v>
      </c>
      <c r="E13" s="4">
        <v>1.0161150000000001</v>
      </c>
      <c r="F13" s="4">
        <v>0.48824699999999999</v>
      </c>
    </row>
    <row r="14" spans="1:8" x14ac:dyDescent="0.4">
      <c r="C14" s="4">
        <v>1.0593999999999999</v>
      </c>
      <c r="D14" s="4">
        <v>0.319608</v>
      </c>
      <c r="E14" s="4">
        <v>1.06769</v>
      </c>
      <c r="F14" s="4">
        <v>0.50943700000000003</v>
      </c>
    </row>
    <row r="15" spans="1:8" x14ac:dyDescent="0.4">
      <c r="C15" s="4">
        <v>0.90869699999999998</v>
      </c>
      <c r="D15" s="4">
        <v>0.31304399999999999</v>
      </c>
      <c r="E15" s="4">
        <v>0.92174699999999998</v>
      </c>
      <c r="F15" s="4">
        <v>0.33091300000000001</v>
      </c>
    </row>
    <row r="16" spans="1:8" x14ac:dyDescent="0.4">
      <c r="B16" s="6" t="s">
        <v>7</v>
      </c>
      <c r="C16" s="6">
        <f>AVERAGE(C13:C15)</f>
        <v>1.0022896666666667</v>
      </c>
      <c r="D16" s="6">
        <f t="shared" ref="D16:F16" si="2">AVERAGE(D13:D15)</f>
        <v>0.34720033333333333</v>
      </c>
      <c r="E16" s="6">
        <f t="shared" si="2"/>
        <v>1.0018506666666667</v>
      </c>
      <c r="F16" s="6">
        <f t="shared" si="2"/>
        <v>0.44286566666666666</v>
      </c>
    </row>
    <row r="17" spans="1:9" x14ac:dyDescent="0.4">
      <c r="B17" s="6" t="s">
        <v>8</v>
      </c>
      <c r="C17" s="6">
        <f>STDEV(C13:C15)</f>
        <v>8.1707215326024485E-2</v>
      </c>
      <c r="D17" s="6">
        <f t="shared" ref="D17:F17" si="3">STDEV(D13:D15)</f>
        <v>5.3576533112299603E-2</v>
      </c>
      <c r="E17" s="6">
        <f t="shared" si="3"/>
        <v>7.4009750819289608E-2</v>
      </c>
      <c r="F17" s="6">
        <f t="shared" si="3"/>
        <v>9.7531039701898734E-2</v>
      </c>
    </row>
    <row r="21" spans="1:9" ht="17.25" x14ac:dyDescent="0.4">
      <c r="A21" s="1" t="s">
        <v>14</v>
      </c>
      <c r="B21" s="2" t="s">
        <v>1</v>
      </c>
      <c r="C21" s="3" t="s">
        <v>10</v>
      </c>
      <c r="D21" s="3"/>
      <c r="E21" s="3"/>
      <c r="G21" s="3" t="s">
        <v>11</v>
      </c>
      <c r="H21" s="3"/>
      <c r="I21" s="3"/>
    </row>
    <row r="22" spans="1:9" x14ac:dyDescent="0.4">
      <c r="C22" s="4" t="s">
        <v>15</v>
      </c>
      <c r="D22" s="4" t="s">
        <v>16</v>
      </c>
      <c r="E22" s="4" t="s">
        <v>17</v>
      </c>
      <c r="G22" s="4" t="s">
        <v>15</v>
      </c>
      <c r="H22" s="4" t="s">
        <v>16</v>
      </c>
      <c r="I22" s="4" t="s">
        <v>17</v>
      </c>
    </row>
    <row r="23" spans="1:9" x14ac:dyDescent="0.4">
      <c r="C23" s="4">
        <v>0.88675999999999999</v>
      </c>
      <c r="D23" s="4">
        <v>0.30728899999999998</v>
      </c>
      <c r="E23" s="4">
        <v>0.891544</v>
      </c>
      <c r="G23" s="4">
        <v>1.1052070000000001</v>
      </c>
      <c r="H23" s="4">
        <v>0.30745099999999997</v>
      </c>
      <c r="I23" s="4">
        <v>1.1974670000000001</v>
      </c>
    </row>
    <row r="24" spans="1:9" x14ac:dyDescent="0.4">
      <c r="C24" s="4">
        <v>0.91886100000000004</v>
      </c>
      <c r="D24" s="4">
        <v>0.19616400000000001</v>
      </c>
      <c r="E24" s="4">
        <v>0.99990400000000002</v>
      </c>
      <c r="G24" s="4">
        <v>0.98855599999999999</v>
      </c>
      <c r="H24" s="4">
        <v>0.45367600000000002</v>
      </c>
      <c r="I24" s="4">
        <v>0.99673900000000004</v>
      </c>
    </row>
    <row r="25" spans="1:9" x14ac:dyDescent="0.4">
      <c r="C25" s="4">
        <v>1.2272799999999999</v>
      </c>
      <c r="D25" s="4">
        <v>0.385461</v>
      </c>
      <c r="E25" s="4">
        <v>0.84390799999999999</v>
      </c>
      <c r="G25" s="4">
        <v>0.91528200000000004</v>
      </c>
      <c r="H25" s="4">
        <v>0.27577099999999999</v>
      </c>
      <c r="I25" s="4">
        <v>0.72430000000000005</v>
      </c>
    </row>
    <row r="26" spans="1:9" x14ac:dyDescent="0.4">
      <c r="B26" s="6" t="s">
        <v>7</v>
      </c>
      <c r="C26" s="6">
        <f>AVERAGE(C23:C25)</f>
        <v>1.0109669999999999</v>
      </c>
      <c r="D26" s="6">
        <f t="shared" ref="D26:I26" si="4">AVERAGE(D23:D25)</f>
        <v>0.29630466666666666</v>
      </c>
      <c r="E26" s="6">
        <f t="shared" si="4"/>
        <v>0.91178533333333334</v>
      </c>
      <c r="F26" s="6"/>
      <c r="G26" s="6">
        <f t="shared" si="4"/>
        <v>1.003015</v>
      </c>
      <c r="H26" s="6">
        <f t="shared" si="4"/>
        <v>0.34563266666666664</v>
      </c>
      <c r="I26" s="6">
        <f t="shared" si="4"/>
        <v>0.97283533333333339</v>
      </c>
    </row>
    <row r="27" spans="1:9" x14ac:dyDescent="0.4">
      <c r="B27" s="6" t="s">
        <v>8</v>
      </c>
      <c r="C27" s="6">
        <f>STDEV(C23:C25)</f>
        <v>0.18801889273953307</v>
      </c>
      <c r="D27" s="6">
        <f t="shared" ref="D27:I27" si="5">STDEV(D23:D25)</f>
        <v>9.512533961218389E-2</v>
      </c>
      <c r="E27" s="6">
        <f t="shared" si="5"/>
        <v>7.9943553119268693E-2</v>
      </c>
      <c r="F27" s="6"/>
      <c r="G27" s="6">
        <f t="shared" si="5"/>
        <v>9.5784515538786336E-2</v>
      </c>
      <c r="H27" s="6">
        <f t="shared" si="5"/>
        <v>9.4899562740475188E-2</v>
      </c>
      <c r="I27" s="6">
        <f t="shared" si="5"/>
        <v>0.2374874553157138</v>
      </c>
    </row>
    <row r="31" spans="1:9" ht="17.25" x14ac:dyDescent="0.4">
      <c r="A31" s="1" t="s">
        <v>18</v>
      </c>
      <c r="B31" s="2" t="s">
        <v>19</v>
      </c>
      <c r="C31" s="3" t="s">
        <v>10</v>
      </c>
      <c r="D31" s="3"/>
      <c r="E31" s="3" t="s">
        <v>11</v>
      </c>
      <c r="F31" s="3"/>
      <c r="G31" s="3" t="s">
        <v>20</v>
      </c>
      <c r="H31" s="3"/>
    </row>
    <row r="32" spans="1:9" x14ac:dyDescent="0.4">
      <c r="C32" s="4" t="s">
        <v>12</v>
      </c>
      <c r="D32" s="4" t="s">
        <v>21</v>
      </c>
      <c r="E32" s="4" t="s">
        <v>12</v>
      </c>
      <c r="F32" s="4" t="s">
        <v>21</v>
      </c>
      <c r="G32" s="4" t="s">
        <v>12</v>
      </c>
      <c r="H32" s="4" t="s">
        <v>21</v>
      </c>
    </row>
    <row r="33" spans="1:25" x14ac:dyDescent="0.4">
      <c r="C33" s="4">
        <v>1.02643</v>
      </c>
      <c r="D33" s="4">
        <v>0.166106</v>
      </c>
      <c r="E33" s="4">
        <v>1.020875</v>
      </c>
      <c r="F33" s="4">
        <v>0.26689299999999999</v>
      </c>
      <c r="G33" s="4">
        <v>1.0436099999999999</v>
      </c>
      <c r="H33" s="4">
        <v>0.29871999999999999</v>
      </c>
    </row>
    <row r="34" spans="1:25" x14ac:dyDescent="0.4">
      <c r="C34" s="4">
        <v>1.005126</v>
      </c>
      <c r="D34" s="4">
        <v>0.199263</v>
      </c>
      <c r="E34" s="4">
        <v>1.0334000000000001</v>
      </c>
      <c r="F34" s="4">
        <v>0.22808100000000001</v>
      </c>
      <c r="G34" s="4">
        <v>1.00179</v>
      </c>
      <c r="H34" s="4">
        <v>0.23963999999999999</v>
      </c>
    </row>
    <row r="35" spans="1:25" x14ac:dyDescent="0.4">
      <c r="C35" s="4">
        <v>0.968445</v>
      </c>
      <c r="D35" s="4">
        <v>0.21912499999999999</v>
      </c>
      <c r="E35" s="4">
        <v>0.94572400000000001</v>
      </c>
      <c r="F35" s="4">
        <v>0.29488199999999998</v>
      </c>
      <c r="G35" s="4">
        <v>0.9546</v>
      </c>
      <c r="H35" s="4">
        <v>0.30425999999999997</v>
      </c>
    </row>
    <row r="36" spans="1:25" x14ac:dyDescent="0.4">
      <c r="B36" s="6" t="s">
        <v>7</v>
      </c>
      <c r="C36" s="6">
        <f>AVERAGE(C33:C35)</f>
        <v>1.0000003333333334</v>
      </c>
      <c r="D36" s="6">
        <f t="shared" ref="D36:H36" si="6">AVERAGE(D33:D35)</f>
        <v>0.19483133333333333</v>
      </c>
      <c r="E36" s="6">
        <f t="shared" si="6"/>
        <v>0.99999966666666662</v>
      </c>
      <c r="F36" s="6">
        <f t="shared" si="6"/>
        <v>0.26328533333333332</v>
      </c>
      <c r="G36" s="6">
        <f t="shared" si="6"/>
        <v>1</v>
      </c>
      <c r="H36" s="6">
        <f t="shared" si="6"/>
        <v>0.28087333333333331</v>
      </c>
    </row>
    <row r="37" spans="1:25" x14ac:dyDescent="0.4">
      <c r="B37" s="6" t="s">
        <v>8</v>
      </c>
      <c r="C37" s="6">
        <f>STDEV(C33:C35)</f>
        <v>2.9330349475131249E-2</v>
      </c>
      <c r="D37" s="6">
        <f t="shared" ref="D37:H37" si="7">STDEV(D33:D35)</f>
        <v>2.6785879532569772E-2</v>
      </c>
      <c r="E37" s="6">
        <f t="shared" si="7"/>
        <v>4.7419456980582725E-2</v>
      </c>
      <c r="F37" s="6">
        <f t="shared" si="7"/>
        <v>3.3546308952451392E-2</v>
      </c>
      <c r="G37" s="6">
        <f t="shared" si="7"/>
        <v>4.4531989625436641E-2</v>
      </c>
      <c r="H37" s="6">
        <f t="shared" si="7"/>
        <v>3.5816389172184097E-2</v>
      </c>
    </row>
    <row r="42" spans="1:25" x14ac:dyDescent="0.4">
      <c r="C42" s="3" t="s">
        <v>10</v>
      </c>
      <c r="D42" s="3"/>
      <c r="E42" s="3"/>
      <c r="F42" s="3"/>
      <c r="G42" s="3"/>
      <c r="H42" s="3"/>
      <c r="I42" s="3"/>
      <c r="J42" s="3"/>
      <c r="K42" s="3"/>
      <c r="L42" s="3"/>
      <c r="M42" s="3"/>
      <c r="O42" s="3" t="s">
        <v>11</v>
      </c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7.25" x14ac:dyDescent="0.4">
      <c r="A43" s="1" t="s">
        <v>22</v>
      </c>
      <c r="B43" s="2" t="s">
        <v>23</v>
      </c>
      <c r="C43" s="4" t="s">
        <v>24</v>
      </c>
      <c r="D43" s="7" t="s">
        <v>12</v>
      </c>
      <c r="E43" s="7"/>
      <c r="F43" s="7"/>
      <c r="G43" s="6" t="s">
        <v>7</v>
      </c>
      <c r="H43" s="6" t="s">
        <v>8</v>
      </c>
      <c r="I43" s="7" t="s">
        <v>25</v>
      </c>
      <c r="J43" s="7"/>
      <c r="K43" s="7"/>
      <c r="L43" s="6" t="s">
        <v>7</v>
      </c>
      <c r="M43" s="6" t="s">
        <v>8</v>
      </c>
      <c r="O43" s="4" t="s">
        <v>24</v>
      </c>
      <c r="P43" s="7" t="s">
        <v>12</v>
      </c>
      <c r="Q43" s="7"/>
      <c r="R43" s="7"/>
      <c r="S43" s="6" t="s">
        <v>7</v>
      </c>
      <c r="T43" s="6" t="s">
        <v>8</v>
      </c>
      <c r="U43" s="7" t="s">
        <v>25</v>
      </c>
      <c r="V43" s="7"/>
      <c r="W43" s="7"/>
      <c r="X43" s="6" t="s">
        <v>7</v>
      </c>
      <c r="Y43" s="6" t="s">
        <v>8</v>
      </c>
    </row>
    <row r="44" spans="1:25" x14ac:dyDescent="0.4">
      <c r="D44" s="4" t="s">
        <v>26</v>
      </c>
      <c r="E44" s="4" t="s">
        <v>27</v>
      </c>
      <c r="F44" s="4" t="s">
        <v>28</v>
      </c>
      <c r="I44" s="4" t="s">
        <v>26</v>
      </c>
      <c r="J44" s="4" t="s">
        <v>27</v>
      </c>
      <c r="K44" s="4" t="s">
        <v>28</v>
      </c>
      <c r="P44" s="4" t="s">
        <v>26</v>
      </c>
      <c r="Q44" s="4" t="s">
        <v>27</v>
      </c>
      <c r="R44" s="4" t="s">
        <v>28</v>
      </c>
      <c r="U44" s="4" t="s">
        <v>26</v>
      </c>
      <c r="V44" s="4" t="s">
        <v>27</v>
      </c>
      <c r="W44" s="4" t="s">
        <v>28</v>
      </c>
    </row>
    <row r="45" spans="1:25" x14ac:dyDescent="0.4">
      <c r="C45" s="4">
        <v>37</v>
      </c>
      <c r="D45" s="4">
        <v>100</v>
      </c>
      <c r="E45" s="4">
        <v>100</v>
      </c>
      <c r="F45" s="4">
        <v>100</v>
      </c>
      <c r="G45" s="6">
        <f>AVERAGE(D45:F45)</f>
        <v>100</v>
      </c>
      <c r="H45" s="6">
        <f>STDEV(D45:F45)</f>
        <v>0</v>
      </c>
      <c r="I45" s="4">
        <v>100</v>
      </c>
      <c r="J45" s="4">
        <v>100</v>
      </c>
      <c r="K45" s="4">
        <v>100</v>
      </c>
      <c r="L45" s="6">
        <f>AVERAGE(I45:K45)</f>
        <v>100</v>
      </c>
      <c r="M45" s="6">
        <f>STDEV(I45:K45)</f>
        <v>0</v>
      </c>
      <c r="O45" s="4">
        <v>37</v>
      </c>
      <c r="P45" s="8">
        <v>100</v>
      </c>
      <c r="Q45" s="8">
        <v>100</v>
      </c>
      <c r="R45" s="8">
        <v>100</v>
      </c>
      <c r="S45" s="6">
        <f>AVERAGE(P45:R45)</f>
        <v>100</v>
      </c>
      <c r="T45" s="6">
        <f>STDEV(P45:R45)</f>
        <v>0</v>
      </c>
      <c r="U45" s="8">
        <v>100</v>
      </c>
      <c r="V45" s="8">
        <v>100</v>
      </c>
      <c r="W45" s="8">
        <v>100</v>
      </c>
      <c r="X45" s="6">
        <f>AVERAGE(U45:W45)</f>
        <v>100</v>
      </c>
      <c r="Y45" s="6">
        <f>STDEV(U45:W45)</f>
        <v>0</v>
      </c>
    </row>
    <row r="46" spans="1:25" x14ac:dyDescent="0.4">
      <c r="C46" s="4">
        <v>42</v>
      </c>
      <c r="D46" s="4">
        <v>106.57769999999999</v>
      </c>
      <c r="E46" s="4">
        <v>88.121160000000003</v>
      </c>
      <c r="F46" s="4">
        <v>97.415400000000005</v>
      </c>
      <c r="G46" s="6">
        <f t="shared" ref="G46:G50" si="8">AVERAGE(D46:F46)</f>
        <v>97.371420000000001</v>
      </c>
      <c r="H46" s="6">
        <f t="shared" ref="H46:H50" si="9">STDEV(D46:F46)</f>
        <v>9.2283485994624144</v>
      </c>
      <c r="I46" s="4">
        <v>106.82380000000001</v>
      </c>
      <c r="J46" s="4">
        <v>95.073359999999994</v>
      </c>
      <c r="K46" s="4">
        <v>95.636390000000006</v>
      </c>
      <c r="L46" s="6">
        <f t="shared" ref="L46:L50" si="10">AVERAGE(I46:K46)</f>
        <v>99.177849999999992</v>
      </c>
      <c r="M46" s="6">
        <f t="shared" ref="M46:M50" si="11">STDEV(I46:K46)</f>
        <v>6.6275685018791055</v>
      </c>
      <c r="O46" s="4">
        <v>42</v>
      </c>
      <c r="P46" s="8">
        <v>91.044409999999999</v>
      </c>
      <c r="Q46" s="8">
        <v>92.920760000000001</v>
      </c>
      <c r="R46" s="8">
        <v>87.192830000000001</v>
      </c>
      <c r="S46" s="6">
        <f>AVERAGE(P46:R46)</f>
        <v>90.38600000000001</v>
      </c>
      <c r="T46" s="6">
        <f>STDEV(P46:R46)</f>
        <v>2.9201752203078502</v>
      </c>
      <c r="U46" s="8">
        <v>95.618750000000006</v>
      </c>
      <c r="V46" s="8">
        <v>91.460400000000007</v>
      </c>
      <c r="W46" s="8">
        <v>89.122900000000001</v>
      </c>
      <c r="X46" s="6">
        <f t="shared" ref="X46:X50" si="12">AVERAGE(U46:W46)</f>
        <v>92.067350000000019</v>
      </c>
      <c r="Y46" s="6">
        <f t="shared" ref="Y46:Y50" si="13">STDEV(U46:W46)</f>
        <v>3.2901835864431654</v>
      </c>
    </row>
    <row r="47" spans="1:25" x14ac:dyDescent="0.4">
      <c r="C47" s="4">
        <v>47</v>
      </c>
      <c r="D47" s="4">
        <v>81.383139999999997</v>
      </c>
      <c r="E47" s="4">
        <v>69.159729999999996</v>
      </c>
      <c r="F47" s="4">
        <v>80.849410000000006</v>
      </c>
      <c r="G47" s="6">
        <f t="shared" si="8"/>
        <v>77.130759999999995</v>
      </c>
      <c r="H47" s="6">
        <f t="shared" si="9"/>
        <v>6.9082708671490316</v>
      </c>
      <c r="I47" s="4">
        <v>80.745500000000007</v>
      </c>
      <c r="J47" s="4">
        <v>97.471819999999994</v>
      </c>
      <c r="K47" s="4">
        <v>80.900090000000006</v>
      </c>
      <c r="L47" s="6">
        <f t="shared" si="10"/>
        <v>86.372470000000007</v>
      </c>
      <c r="M47" s="6">
        <f t="shared" si="11"/>
        <v>9.6126298344365608</v>
      </c>
      <c r="O47" s="4">
        <v>47</v>
      </c>
      <c r="P47" s="8">
        <v>69.235810000000001</v>
      </c>
      <c r="Q47" s="8">
        <v>76.470479999999995</v>
      </c>
      <c r="R47" s="8">
        <v>78.118610000000004</v>
      </c>
      <c r="S47" s="6">
        <f t="shared" ref="S47:S50" si="14">AVERAGE(P47:R47)</f>
        <v>74.6083</v>
      </c>
      <c r="T47" s="6">
        <f t="shared" ref="T47:T50" si="15">STDEV(P47:R47)</f>
        <v>4.7251264241605222</v>
      </c>
      <c r="U47" s="8">
        <v>93.554839999999999</v>
      </c>
      <c r="V47" s="8">
        <v>94.031030000000001</v>
      </c>
      <c r="W47" s="8">
        <v>77.593509999999995</v>
      </c>
      <c r="X47" s="6">
        <f t="shared" si="12"/>
        <v>88.39312666666666</v>
      </c>
      <c r="Y47" s="6">
        <f t="shared" si="13"/>
        <v>9.355772514294765</v>
      </c>
    </row>
    <row r="48" spans="1:25" x14ac:dyDescent="0.4">
      <c r="C48" s="4">
        <v>52</v>
      </c>
      <c r="D48" s="4">
        <v>29.426310000000001</v>
      </c>
      <c r="E48" s="4">
        <v>12.471880000000001</v>
      </c>
      <c r="F48" s="4">
        <v>29.53227</v>
      </c>
      <c r="G48" s="6">
        <f t="shared" si="8"/>
        <v>23.810153333333332</v>
      </c>
      <c r="H48" s="6">
        <f t="shared" si="9"/>
        <v>9.8193756683627011</v>
      </c>
      <c r="I48" s="4">
        <v>59.433889999999998</v>
      </c>
      <c r="J48" s="4">
        <v>58.385629999999999</v>
      </c>
      <c r="K48" s="4">
        <v>49.072690000000001</v>
      </c>
      <c r="L48" s="6">
        <f t="shared" si="10"/>
        <v>55.630736666666671</v>
      </c>
      <c r="M48" s="6">
        <f t="shared" si="11"/>
        <v>5.7035685599923589</v>
      </c>
      <c r="O48" s="4">
        <v>52</v>
      </c>
      <c r="P48" s="8">
        <v>25.670590000000001</v>
      </c>
      <c r="Q48" s="8">
        <v>32.004519999999999</v>
      </c>
      <c r="R48" s="8">
        <v>30.582470000000001</v>
      </c>
      <c r="S48" s="6">
        <f t="shared" si="14"/>
        <v>29.419193333333336</v>
      </c>
      <c r="T48" s="6">
        <f t="shared" si="15"/>
        <v>3.3233381957955062</v>
      </c>
      <c r="U48" s="8">
        <v>85.144099999999995</v>
      </c>
      <c r="V48" s="8">
        <v>59.266779999999997</v>
      </c>
      <c r="W48" s="8">
        <v>52.650190000000002</v>
      </c>
      <c r="X48" s="6">
        <f t="shared" si="12"/>
        <v>65.687023333333329</v>
      </c>
      <c r="Y48" s="6">
        <f t="shared" si="13"/>
        <v>17.172017648384625</v>
      </c>
    </row>
    <row r="49" spans="1:25" x14ac:dyDescent="0.4">
      <c r="C49" s="4">
        <v>57</v>
      </c>
      <c r="D49" s="4">
        <v>15.105549999999999</v>
      </c>
      <c r="E49" s="4">
        <v>10.96688</v>
      </c>
      <c r="F49" s="4">
        <v>11.802899999999999</v>
      </c>
      <c r="G49" s="6">
        <f t="shared" si="8"/>
        <v>12.625109999999999</v>
      </c>
      <c r="H49" s="6">
        <f t="shared" si="9"/>
        <v>2.1884170775471463</v>
      </c>
      <c r="I49" s="4">
        <v>22.255549999999999</v>
      </c>
      <c r="J49" s="4">
        <v>26.236260000000001</v>
      </c>
      <c r="K49" s="4">
        <v>19.33032</v>
      </c>
      <c r="L49" s="6">
        <f t="shared" si="10"/>
        <v>22.607376666666667</v>
      </c>
      <c r="M49" s="6">
        <f t="shared" si="11"/>
        <v>3.4663869263879481</v>
      </c>
      <c r="O49" s="4">
        <v>57</v>
      </c>
      <c r="P49" s="8">
        <v>16.813800000000001</v>
      </c>
      <c r="Q49" s="8">
        <v>13.87927</v>
      </c>
      <c r="R49" s="8">
        <v>15.994070000000001</v>
      </c>
      <c r="S49" s="6">
        <f t="shared" si="14"/>
        <v>15.562379999999999</v>
      </c>
      <c r="T49" s="6">
        <f t="shared" si="15"/>
        <v>1.5141445678336005</v>
      </c>
      <c r="U49" s="8">
        <v>18.27346</v>
      </c>
      <c r="V49" s="8">
        <v>18.8369</v>
      </c>
      <c r="W49" s="8">
        <v>17.019279999999998</v>
      </c>
      <c r="X49" s="6">
        <f t="shared" si="12"/>
        <v>18.04321333333333</v>
      </c>
      <c r="Y49" s="6">
        <f t="shared" si="13"/>
        <v>0.9304277305268448</v>
      </c>
    </row>
    <row r="50" spans="1:25" x14ac:dyDescent="0.4">
      <c r="C50" s="4">
        <v>62</v>
      </c>
      <c r="D50" s="4">
        <v>2.0240130000000001</v>
      </c>
      <c r="E50" s="4">
        <v>4.6439199999999996</v>
      </c>
      <c r="F50" s="4">
        <v>9.4802569999999999</v>
      </c>
      <c r="G50" s="6">
        <f t="shared" si="8"/>
        <v>5.3827299999999996</v>
      </c>
      <c r="H50" s="6">
        <f t="shared" si="9"/>
        <v>3.7826278972374485</v>
      </c>
      <c r="I50" s="4">
        <v>13.71279</v>
      </c>
      <c r="J50" s="4">
        <v>11.56809</v>
      </c>
      <c r="K50" s="4">
        <v>6.0707680000000002</v>
      </c>
      <c r="L50" s="6">
        <f t="shared" si="10"/>
        <v>10.450549333333333</v>
      </c>
      <c r="M50" s="6">
        <f t="shared" si="11"/>
        <v>3.9416745069020243</v>
      </c>
      <c r="O50" s="4">
        <v>62</v>
      </c>
      <c r="P50" s="8">
        <v>9.5495380000000001</v>
      </c>
      <c r="Q50" s="8">
        <v>6.9203840000000003</v>
      </c>
      <c r="R50" s="8">
        <v>10.83389</v>
      </c>
      <c r="S50" s="6">
        <f t="shared" si="14"/>
        <v>9.1012706666666663</v>
      </c>
      <c r="T50" s="6">
        <f t="shared" si="15"/>
        <v>1.9948909756198043</v>
      </c>
      <c r="U50" s="8">
        <v>18.64517</v>
      </c>
      <c r="V50" s="8">
        <v>5.9492710000000004</v>
      </c>
      <c r="W50" s="8">
        <v>10.770250000000001</v>
      </c>
      <c r="X50" s="6">
        <f t="shared" si="12"/>
        <v>11.788230333333333</v>
      </c>
      <c r="Y50" s="6">
        <f t="shared" si="13"/>
        <v>6.4088747704913365</v>
      </c>
    </row>
    <row r="56" spans="1:25" ht="17.25" x14ac:dyDescent="0.4">
      <c r="A56" s="1" t="s">
        <v>29</v>
      </c>
      <c r="B56" s="2" t="s">
        <v>30</v>
      </c>
      <c r="C56" s="9" t="s">
        <v>31</v>
      </c>
      <c r="D56" s="7" t="s">
        <v>12</v>
      </c>
      <c r="E56" s="7"/>
      <c r="F56" s="7"/>
      <c r="G56" s="6" t="s">
        <v>7</v>
      </c>
      <c r="H56" s="6" t="s">
        <v>8</v>
      </c>
      <c r="I56" s="7" t="s">
        <v>32</v>
      </c>
      <c r="J56" s="7"/>
      <c r="K56" s="7"/>
      <c r="L56" s="6" t="s">
        <v>7</v>
      </c>
      <c r="M56" s="6" t="s">
        <v>8</v>
      </c>
    </row>
    <row r="57" spans="1:25" x14ac:dyDescent="0.4">
      <c r="D57" s="4" t="s">
        <v>26</v>
      </c>
      <c r="E57" s="4" t="s">
        <v>27</v>
      </c>
      <c r="F57" s="4" t="s">
        <v>28</v>
      </c>
      <c r="I57" s="4" t="s">
        <v>26</v>
      </c>
      <c r="J57" s="4" t="s">
        <v>27</v>
      </c>
      <c r="K57" s="4" t="s">
        <v>28</v>
      </c>
    </row>
    <row r="58" spans="1:25" x14ac:dyDescent="0.4">
      <c r="C58" s="4">
        <v>20</v>
      </c>
      <c r="D58" s="8">
        <v>1</v>
      </c>
      <c r="E58" s="8">
        <v>1</v>
      </c>
      <c r="F58" s="8">
        <v>1</v>
      </c>
      <c r="G58" s="6">
        <f>AVERAGE(D58:F58)</f>
        <v>1</v>
      </c>
      <c r="H58" s="6">
        <f>STDEV(D58:F58)</f>
        <v>0</v>
      </c>
      <c r="I58" s="8">
        <v>1</v>
      </c>
      <c r="J58" s="8">
        <v>1</v>
      </c>
      <c r="K58" s="8">
        <v>1</v>
      </c>
      <c r="L58" s="6">
        <f>AVERAGE(I58:K58)</f>
        <v>1</v>
      </c>
      <c r="M58" s="6">
        <f>STDEV(I58:K58)</f>
        <v>0</v>
      </c>
    </row>
    <row r="59" spans="1:25" x14ac:dyDescent="0.4">
      <c r="C59" s="4">
        <v>30</v>
      </c>
      <c r="D59" s="8">
        <v>1.0276000000000001</v>
      </c>
      <c r="E59" s="8">
        <v>1.0106630000000001</v>
      </c>
      <c r="F59" s="8">
        <v>1.0225139999999999</v>
      </c>
      <c r="G59" s="6">
        <f t="shared" ref="G59:G63" si="16">AVERAGE(D59:F59)</f>
        <v>1.020259</v>
      </c>
      <c r="H59" s="6">
        <f t="shared" ref="H59:H63" si="17">STDEV(D59:F59)</f>
        <v>8.6907572167216514E-3</v>
      </c>
      <c r="I59" s="8">
        <v>1.0199119999999999</v>
      </c>
      <c r="J59" s="8">
        <v>1.0168919999999999</v>
      </c>
      <c r="K59" s="8">
        <v>1.0102169999999999</v>
      </c>
      <c r="L59" s="6">
        <f t="shared" ref="L59:L63" si="18">AVERAGE(I59:K59)</f>
        <v>1.0156736666666666</v>
      </c>
      <c r="M59" s="6">
        <f t="shared" ref="M59:M63" si="19">STDEV(I59:K59)</f>
        <v>4.9609987233755013E-3</v>
      </c>
    </row>
    <row r="60" spans="1:25" x14ac:dyDescent="0.4">
      <c r="C60" s="4">
        <v>40</v>
      </c>
      <c r="D60" s="8">
        <v>1.054961</v>
      </c>
      <c r="E60" s="8">
        <v>1.0370490000000001</v>
      </c>
      <c r="F60" s="8">
        <v>1.052241</v>
      </c>
      <c r="G60" s="6">
        <f t="shared" si="16"/>
        <v>1.0480836666666666</v>
      </c>
      <c r="H60" s="6">
        <f t="shared" si="17"/>
        <v>9.6525903949837375E-3</v>
      </c>
      <c r="I60" s="8">
        <v>1.040929</v>
      </c>
      <c r="J60" s="8">
        <v>1.0416669999999999</v>
      </c>
      <c r="K60" s="8">
        <v>1.028097</v>
      </c>
      <c r="L60" s="6">
        <f t="shared" si="18"/>
        <v>1.0368976666666665</v>
      </c>
      <c r="M60" s="6">
        <f t="shared" si="19"/>
        <v>7.6305282473320604E-3</v>
      </c>
    </row>
    <row r="61" spans="1:25" x14ac:dyDescent="0.4">
      <c r="C61" s="4">
        <v>50</v>
      </c>
      <c r="D61" s="8">
        <v>1.077267</v>
      </c>
      <c r="E61" s="8">
        <v>1.0593239999999999</v>
      </c>
      <c r="F61" s="8">
        <v>1.07023</v>
      </c>
      <c r="G61" s="6">
        <f t="shared" si="16"/>
        <v>1.0689403333333334</v>
      </c>
      <c r="H61" s="6">
        <f t="shared" si="17"/>
        <v>9.040754522346782E-3</v>
      </c>
      <c r="I61" s="8">
        <v>1.061947</v>
      </c>
      <c r="J61" s="8">
        <v>1.0619369999999999</v>
      </c>
      <c r="K61" s="8">
        <v>1.043423</v>
      </c>
      <c r="L61" s="6">
        <f t="shared" si="18"/>
        <v>1.055769</v>
      </c>
      <c r="M61" s="6">
        <f t="shared" si="19"/>
        <v>1.0691950804226486E-2</v>
      </c>
    </row>
    <row r="62" spans="1:25" x14ac:dyDescent="0.4">
      <c r="C62" s="4">
        <v>60</v>
      </c>
      <c r="D62" s="8">
        <v>1.0821050000000001</v>
      </c>
      <c r="E62" s="8">
        <v>1.060732</v>
      </c>
      <c r="F62" s="8">
        <v>1.0718080000000001</v>
      </c>
      <c r="G62" s="6">
        <f t="shared" si="16"/>
        <v>1.0715483333333333</v>
      </c>
      <c r="H62" s="6">
        <f t="shared" si="17"/>
        <v>1.0688865811363442E-2</v>
      </c>
      <c r="I62" s="8">
        <v>1.0663720000000001</v>
      </c>
      <c r="J62" s="8">
        <v>1.066441</v>
      </c>
      <c r="K62" s="8">
        <v>1.065134</v>
      </c>
      <c r="L62" s="6">
        <f t="shared" si="18"/>
        <v>1.0659823333333334</v>
      </c>
      <c r="M62" s="6">
        <f t="shared" si="19"/>
        <v>7.3548781997619594E-4</v>
      </c>
    </row>
    <row r="63" spans="1:25" x14ac:dyDescent="0.4">
      <c r="C63" s="4">
        <v>70</v>
      </c>
      <c r="D63" s="8">
        <v>1.093315</v>
      </c>
      <c r="E63" s="8">
        <v>1.067914</v>
      </c>
      <c r="F63" s="8">
        <v>1.083556</v>
      </c>
      <c r="G63" s="6">
        <f t="shared" si="16"/>
        <v>1.0815950000000001</v>
      </c>
      <c r="H63" s="6">
        <f t="shared" si="17"/>
        <v>1.2813541313782071E-2</v>
      </c>
      <c r="I63" s="8">
        <v>1.0796460000000001</v>
      </c>
      <c r="J63" s="8">
        <v>1.078829</v>
      </c>
      <c r="K63" s="8">
        <v>1.07152</v>
      </c>
      <c r="L63" s="6">
        <f t="shared" si="18"/>
        <v>1.076665</v>
      </c>
      <c r="M63" s="6">
        <f t="shared" si="19"/>
        <v>4.4743872206147121E-3</v>
      </c>
    </row>
    <row r="64" spans="1:25" x14ac:dyDescent="0.35">
      <c r="K64" s="10"/>
    </row>
    <row r="65" spans="1:11" x14ac:dyDescent="0.35">
      <c r="K65" s="10"/>
    </row>
    <row r="66" spans="1:11" x14ac:dyDescent="0.35">
      <c r="K66" s="10"/>
    </row>
    <row r="67" spans="1:11" x14ac:dyDescent="0.35">
      <c r="K67" s="10"/>
    </row>
    <row r="68" spans="1:11" x14ac:dyDescent="0.35">
      <c r="K68" s="10"/>
    </row>
    <row r="69" spans="1:11" x14ac:dyDescent="0.35">
      <c r="C69" s="3" t="s">
        <v>33</v>
      </c>
      <c r="D69" s="3"/>
      <c r="E69" s="3"/>
      <c r="F69" s="3" t="s">
        <v>34</v>
      </c>
      <c r="G69" s="3"/>
      <c r="H69" s="3"/>
      <c r="K69" s="10"/>
    </row>
    <row r="70" spans="1:11" ht="17.25" x14ac:dyDescent="0.4">
      <c r="A70" s="1" t="s">
        <v>35</v>
      </c>
      <c r="B70" s="2" t="s">
        <v>36</v>
      </c>
      <c r="C70" s="4" t="s">
        <v>37</v>
      </c>
      <c r="D70" s="4" t="s">
        <v>38</v>
      </c>
      <c r="E70" s="4" t="s">
        <v>39</v>
      </c>
      <c r="F70" s="4" t="s">
        <v>37</v>
      </c>
      <c r="G70" s="4" t="s">
        <v>38</v>
      </c>
      <c r="H70" s="4" t="s">
        <v>39</v>
      </c>
    </row>
    <row r="71" spans="1:11" x14ac:dyDescent="0.4">
      <c r="C71" s="4">
        <v>1.16007018</v>
      </c>
      <c r="D71" s="4">
        <v>2.712452984</v>
      </c>
      <c r="E71" s="4">
        <v>4.2815701270000002</v>
      </c>
      <c r="F71" s="4">
        <v>1.140121988</v>
      </c>
      <c r="G71" s="4">
        <v>1.057844765</v>
      </c>
      <c r="H71" s="4">
        <v>1.1232361340000001</v>
      </c>
    </row>
    <row r="72" spans="1:11" x14ac:dyDescent="0.4">
      <c r="C72" s="4">
        <v>1.1054578749999999</v>
      </c>
      <c r="D72" s="4">
        <v>2.7322706160000001</v>
      </c>
      <c r="E72" s="4">
        <v>4.7410584460000003</v>
      </c>
      <c r="F72" s="4">
        <v>0.90479273699999996</v>
      </c>
      <c r="G72" s="4">
        <v>0.94781917999999998</v>
      </c>
      <c r="H72" s="4">
        <v>0.80577085400000004</v>
      </c>
    </row>
    <row r="73" spans="1:11" x14ac:dyDescent="0.4">
      <c r="C73" s="4">
        <v>0.73447194500000001</v>
      </c>
      <c r="D73" s="4">
        <v>2.909840596</v>
      </c>
      <c r="E73" s="4">
        <v>3.7598509550000001</v>
      </c>
      <c r="F73" s="4">
        <v>0.95508527499999996</v>
      </c>
      <c r="G73" s="4">
        <v>1.0135677169999999</v>
      </c>
      <c r="H73" s="4">
        <v>1.073219739</v>
      </c>
    </row>
    <row r="74" spans="1:11" x14ac:dyDescent="0.4">
      <c r="B74" s="6" t="s">
        <v>7</v>
      </c>
      <c r="C74" s="6">
        <f>AVERAGE(C71:C73)</f>
        <v>1</v>
      </c>
      <c r="D74" s="6">
        <f t="shared" ref="D74:H74" si="20">AVERAGE(D71:D73)</f>
        <v>2.7848547319999999</v>
      </c>
      <c r="E74" s="6">
        <f t="shared" si="20"/>
        <v>4.2608265093333335</v>
      </c>
      <c r="F74" s="6">
        <f t="shared" si="20"/>
        <v>1</v>
      </c>
      <c r="G74" s="6">
        <f t="shared" si="20"/>
        <v>1.0064105540000001</v>
      </c>
      <c r="H74" s="6">
        <f t="shared" si="20"/>
        <v>1.0007422423333334</v>
      </c>
    </row>
    <row r="75" spans="1:11" x14ac:dyDescent="0.4">
      <c r="B75" s="6" t="s">
        <v>8</v>
      </c>
      <c r="C75" s="6">
        <f>STDEV(C71:C73)</f>
        <v>0.23156961579277896</v>
      </c>
      <c r="D75" s="6">
        <f t="shared" ref="D75:H75" si="21">STDEV(D71:D73)</f>
        <v>0.10869353377451542</v>
      </c>
      <c r="E75" s="6">
        <f t="shared" si="21"/>
        <v>0.49093253951439653</v>
      </c>
      <c r="F75" s="6">
        <f t="shared" si="21"/>
        <v>0.12392725077812546</v>
      </c>
      <c r="G75" s="6">
        <f t="shared" si="21"/>
        <v>5.5360871338017113E-2</v>
      </c>
      <c r="H75" s="6">
        <f t="shared" si="21"/>
        <v>0.17069209601990842</v>
      </c>
    </row>
  </sheetData>
  <mergeCells count="20">
    <mergeCell ref="D56:F56"/>
    <mergeCell ref="I56:K56"/>
    <mergeCell ref="C69:E69"/>
    <mergeCell ref="F69:H69"/>
    <mergeCell ref="C31:D31"/>
    <mergeCell ref="E31:F31"/>
    <mergeCell ref="G31:H31"/>
    <mergeCell ref="C42:M42"/>
    <mergeCell ref="O42:Y42"/>
    <mergeCell ref="D43:F43"/>
    <mergeCell ref="I43:K43"/>
    <mergeCell ref="P43:R43"/>
    <mergeCell ref="U43:W43"/>
    <mergeCell ref="C2:D2"/>
    <mergeCell ref="E2:F2"/>
    <mergeCell ref="G2:H2"/>
    <mergeCell ref="C11:D11"/>
    <mergeCell ref="E11:F11"/>
    <mergeCell ref="C21:E21"/>
    <mergeCell ref="G21:I21"/>
  </mergeCells>
  <phoneticPr fontId="2" type="noConversion"/>
  <conditionalFormatting sqref="K7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Siqi Liu</dc:creator>
  <cp:lastModifiedBy>Siqi Liu</cp:lastModifiedBy>
  <dcterms:created xsi:type="dcterms:W3CDTF">2026-02-10T09:28:18Z</dcterms:created>
  <dcterms:modified xsi:type="dcterms:W3CDTF">2026-02-10T09:29:13Z</dcterms:modified>
</cp:coreProperties>
</file>