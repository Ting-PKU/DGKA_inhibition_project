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2\"/>
    </mc:Choice>
  </mc:AlternateContent>
  <xr:revisionPtr revIDLastSave="0" documentId="8_{87F6021E-08BE-4E8A-8C24-3CE668DEC872}" xr6:coauthVersionLast="47" xr6:coauthVersionMax="47" xr10:uidLastSave="{00000000-0000-0000-0000-000000000000}"/>
  <bookViews>
    <workbookView xWindow="-98" yWindow="-98" windowWidth="23236" windowHeight="13875" xr2:uid="{E90A94C1-8054-409D-A5C6-948B474691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1" l="1"/>
  <c r="J38" i="1"/>
  <c r="H38" i="1"/>
  <c r="G38" i="1"/>
  <c r="E38" i="1"/>
  <c r="D38" i="1"/>
  <c r="K37" i="1"/>
  <c r="J37" i="1"/>
  <c r="H37" i="1"/>
  <c r="G37" i="1"/>
  <c r="E37" i="1"/>
  <c r="D37" i="1"/>
  <c r="I29" i="1"/>
  <c r="H29" i="1"/>
  <c r="F29" i="1"/>
  <c r="E29" i="1"/>
  <c r="I28" i="1"/>
  <c r="H28" i="1"/>
  <c r="F28" i="1"/>
  <c r="E28" i="1"/>
  <c r="L20" i="1"/>
  <c r="K20" i="1"/>
  <c r="I20" i="1"/>
  <c r="H20" i="1"/>
  <c r="F20" i="1"/>
  <c r="E20" i="1"/>
  <c r="L19" i="1"/>
  <c r="K19" i="1"/>
  <c r="I19" i="1"/>
  <c r="H19" i="1"/>
  <c r="F19" i="1"/>
  <c r="E19" i="1"/>
  <c r="L10" i="1"/>
  <c r="K10" i="1"/>
  <c r="J10" i="1"/>
  <c r="I10" i="1"/>
  <c r="H10" i="1"/>
  <c r="G10" i="1"/>
  <c r="F10" i="1"/>
  <c r="E10" i="1"/>
  <c r="Q9" i="1"/>
  <c r="P9" i="1"/>
  <c r="L9" i="1"/>
  <c r="K9" i="1"/>
  <c r="J9" i="1"/>
  <c r="I9" i="1"/>
  <c r="H9" i="1"/>
  <c r="G9" i="1"/>
  <c r="F9" i="1"/>
  <c r="E9" i="1"/>
  <c r="Q8" i="1"/>
  <c r="P8" i="1"/>
</calcChain>
</file>

<file path=xl/sharedStrings.xml><?xml version="1.0" encoding="utf-8"?>
<sst xmlns="http://schemas.openxmlformats.org/spreadsheetml/2006/main" count="44" uniqueCount="22">
  <si>
    <t>Figure 2B</t>
    <phoneticPr fontId="3" type="noConversion"/>
  </si>
  <si>
    <t>Tumor volume</t>
  </si>
  <si>
    <t>Cont</t>
  </si>
  <si>
    <t>R59022</t>
  </si>
  <si>
    <t>Last day</t>
    <phoneticPr fontId="3" type="noConversion"/>
  </si>
  <si>
    <t>Cont</t>
    <phoneticPr fontId="3" type="noConversion"/>
  </si>
  <si>
    <t>R59022</t>
    <phoneticPr fontId="3" type="noConversion"/>
  </si>
  <si>
    <t>week</t>
  </si>
  <si>
    <t>Mean</t>
    <phoneticPr fontId="3" type="noConversion"/>
  </si>
  <si>
    <t>Mean</t>
  </si>
  <si>
    <t>SD</t>
    <phoneticPr fontId="3" type="noConversion"/>
  </si>
  <si>
    <t>SD</t>
  </si>
  <si>
    <t>Figure 2C</t>
    <phoneticPr fontId="3" type="noConversion"/>
  </si>
  <si>
    <t>Ki67 level</t>
  </si>
  <si>
    <t>CD31 level</t>
  </si>
  <si>
    <t>LYVE1 level</t>
  </si>
  <si>
    <t>PD-L1 level</t>
  </si>
  <si>
    <t>NF-kB activity</t>
  </si>
  <si>
    <t>Figure 2D</t>
    <phoneticPr fontId="3" type="noConversion"/>
  </si>
  <si>
    <t>CD3/CD45</t>
  </si>
  <si>
    <t>CD8/CD3</t>
  </si>
  <si>
    <t>GZMB/CD8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</si>
</sst>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>
      <alignment vertical="center"/>
    </xf>
    <xf numFmtId="0" fontId="4" fillId="3" borderId="0" xfId="0" applyFont="1" applyFill="1">
      <alignment vertical="center"/>
    </xf>
    <xf numFmtId="0" fontId="4" fillId="5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A0EF-396A-4197-88B8-8ABB4BF794ED}">
  <dimension ref="A2:Q38"/>
  <sheetViews>
    <sheetView tabSelected="1" workbookViewId="0">
      <selection activeCell="Q13" sqref="Q13"/>
    </sheetView>
  </sheetViews>
  <sheetFormatPr defaultColWidth="9.06640625" defaultRowHeight="13.9" x14ac:dyDescent="0.4"/>
  <cols>
    <col min="1" max="1" width="14.73046875" style="2" customWidth="1"/>
    <col min="2" max="2" width="8.53125" style="2" customWidth="1"/>
    <col min="3" max="3" width="13.796875" style="2" customWidth="1"/>
    <col min="4" max="16384" width="9.06640625" style="2"/>
  </cols>
  <sheetData>
    <row r="2" spans="1:17" x14ac:dyDescent="0.4">
      <c r="A2" s="1" t="s">
        <v>0</v>
      </c>
      <c r="C2" s="3" t="s">
        <v>1</v>
      </c>
      <c r="E2" s="4" t="s">
        <v>2</v>
      </c>
      <c r="F2" s="4"/>
      <c r="G2" s="4"/>
      <c r="H2" s="4"/>
      <c r="I2" s="4" t="s">
        <v>3</v>
      </c>
      <c r="J2" s="4"/>
      <c r="K2" s="4"/>
      <c r="L2" s="4"/>
      <c r="O2" s="5" t="s">
        <v>4</v>
      </c>
      <c r="P2" s="6" t="s">
        <v>5</v>
      </c>
      <c r="Q2" s="6" t="s">
        <v>6</v>
      </c>
    </row>
    <row r="3" spans="1:17" x14ac:dyDescent="0.4">
      <c r="D3" s="2" t="s">
        <v>7</v>
      </c>
      <c r="E3" s="2">
        <v>0</v>
      </c>
      <c r="F3" s="2">
        <v>1</v>
      </c>
      <c r="G3" s="2">
        <v>2</v>
      </c>
      <c r="H3" s="2">
        <v>3</v>
      </c>
      <c r="I3" s="2">
        <v>0</v>
      </c>
      <c r="J3" s="2">
        <v>1</v>
      </c>
      <c r="K3" s="2">
        <v>2</v>
      </c>
      <c r="L3" s="2">
        <v>3</v>
      </c>
      <c r="P3" s="2">
        <v>750.26800000000003</v>
      </c>
      <c r="Q3" s="2">
        <v>276.32400000000001</v>
      </c>
    </row>
    <row r="4" spans="1:17" x14ac:dyDescent="0.4">
      <c r="E4" s="2">
        <v>76.677099999999996</v>
      </c>
      <c r="F4" s="2">
        <v>186.745</v>
      </c>
      <c r="G4" s="2">
        <v>530.71199999999999</v>
      </c>
      <c r="H4" s="2">
        <v>750.26800000000003</v>
      </c>
      <c r="I4" s="2">
        <v>114.15</v>
      </c>
      <c r="J4" s="2">
        <v>181.21</v>
      </c>
      <c r="K4" s="2">
        <v>229.13300000000001</v>
      </c>
      <c r="L4" s="2">
        <v>276.32400000000001</v>
      </c>
      <c r="P4" s="2">
        <v>599.04</v>
      </c>
      <c r="Q4" s="2">
        <v>342.65499999999997</v>
      </c>
    </row>
    <row r="5" spans="1:17" x14ac:dyDescent="0.4">
      <c r="E5" s="2">
        <v>108.268</v>
      </c>
      <c r="F5" s="2">
        <v>139.94200000000001</v>
      </c>
      <c r="G5" s="2">
        <v>382.94799999999998</v>
      </c>
      <c r="H5" s="2">
        <v>599.04</v>
      </c>
      <c r="I5" s="2">
        <v>116.574</v>
      </c>
      <c r="J5" s="2">
        <v>180.154</v>
      </c>
      <c r="K5" s="2">
        <v>256.27699999999999</v>
      </c>
      <c r="L5" s="2">
        <v>342.65499999999997</v>
      </c>
      <c r="P5" s="2">
        <v>582.4</v>
      </c>
      <c r="Q5" s="2">
        <v>286.20800000000003</v>
      </c>
    </row>
    <row r="6" spans="1:17" x14ac:dyDescent="0.4">
      <c r="E6" s="2">
        <v>66.338999999999999</v>
      </c>
      <c r="F6" s="2">
        <v>200.74799999999999</v>
      </c>
      <c r="G6" s="2">
        <v>292.5</v>
      </c>
      <c r="H6" s="2">
        <v>582.4</v>
      </c>
      <c r="I6" s="2">
        <v>91.395200000000003</v>
      </c>
      <c r="J6" s="2">
        <v>146.01599999999999</v>
      </c>
      <c r="K6" s="2">
        <v>172.524</v>
      </c>
      <c r="L6" s="2">
        <v>286.20800000000003</v>
      </c>
      <c r="P6" s="2">
        <v>808.35299999999995</v>
      </c>
      <c r="Q6" s="2">
        <v>257.39999999999998</v>
      </c>
    </row>
    <row r="7" spans="1:17" x14ac:dyDescent="0.4">
      <c r="E7" s="2">
        <v>100.077</v>
      </c>
      <c r="F7" s="2">
        <v>227.22900000000001</v>
      </c>
      <c r="G7" s="2">
        <v>462.11399999999998</v>
      </c>
      <c r="H7" s="2">
        <v>808.35299999999995</v>
      </c>
      <c r="I7" s="2">
        <v>134.78399999999999</v>
      </c>
      <c r="J7" s="2">
        <v>152.727</v>
      </c>
      <c r="K7" s="2">
        <v>182.07400000000001</v>
      </c>
      <c r="L7" s="2">
        <v>257.39999999999998</v>
      </c>
      <c r="P7" s="2">
        <v>1065.94</v>
      </c>
      <c r="Q7" s="2">
        <v>216.40299999999999</v>
      </c>
    </row>
    <row r="8" spans="1:17" x14ac:dyDescent="0.4">
      <c r="E8" s="2">
        <v>106.964</v>
      </c>
      <c r="F8" s="2">
        <v>193.33600000000001</v>
      </c>
      <c r="G8" s="2">
        <v>633.55499999999995</v>
      </c>
      <c r="H8" s="2">
        <v>1065.94</v>
      </c>
      <c r="I8" s="2">
        <v>62.127000000000002</v>
      </c>
      <c r="J8" s="2">
        <v>99.3262</v>
      </c>
      <c r="K8" s="2">
        <v>152.85900000000001</v>
      </c>
      <c r="L8" s="2">
        <v>216.40299999999999</v>
      </c>
      <c r="O8" s="7" t="s">
        <v>8</v>
      </c>
      <c r="P8" s="7">
        <f>AVERAGE(P3:P7)</f>
        <v>761.2002</v>
      </c>
      <c r="Q8" s="7">
        <f>AVERAGE(Q3:Q7)</f>
        <v>275.798</v>
      </c>
    </row>
    <row r="9" spans="1:17" x14ac:dyDescent="0.4">
      <c r="D9" s="7" t="s">
        <v>9</v>
      </c>
      <c r="E9" s="7">
        <f>AVERAGE(E4:E8)</f>
        <v>91.665019999999998</v>
      </c>
      <c r="F9" s="7">
        <f t="shared" ref="F9:L9" si="0">AVERAGE(F4:F8)</f>
        <v>189.6</v>
      </c>
      <c r="G9" s="7">
        <f t="shared" si="0"/>
        <v>460.36579999999992</v>
      </c>
      <c r="H9" s="7">
        <f t="shared" si="0"/>
        <v>761.2002</v>
      </c>
      <c r="I9" s="7">
        <f t="shared" si="0"/>
        <v>103.80603999999998</v>
      </c>
      <c r="J9" s="7">
        <f t="shared" si="0"/>
        <v>151.88664</v>
      </c>
      <c r="K9" s="7">
        <f t="shared" si="0"/>
        <v>198.57340000000002</v>
      </c>
      <c r="L9" s="7">
        <f t="shared" si="0"/>
        <v>275.798</v>
      </c>
      <c r="O9" s="7" t="s">
        <v>10</v>
      </c>
      <c r="P9" s="7">
        <f>STDEV(P3:P7)</f>
        <v>195.8792276077273</v>
      </c>
      <c r="Q9" s="7">
        <f>STDEV(Q3:Q7)</f>
        <v>45.947675822613803</v>
      </c>
    </row>
    <row r="10" spans="1:17" x14ac:dyDescent="0.4">
      <c r="D10" s="7" t="s">
        <v>11</v>
      </c>
      <c r="E10" s="7">
        <f>STDEV(E4:E8)</f>
        <v>19.016599172880507</v>
      </c>
      <c r="F10" s="7">
        <f t="shared" ref="F10:L10" si="1">STDEV(F4:F8)</f>
        <v>31.734229272191367</v>
      </c>
      <c r="G10" s="7">
        <f t="shared" si="1"/>
        <v>131.45206885096965</v>
      </c>
      <c r="H10" s="7">
        <f t="shared" si="1"/>
        <v>195.8792276077273</v>
      </c>
      <c r="I10" s="7">
        <f t="shared" si="1"/>
        <v>27.93216623192701</v>
      </c>
      <c r="J10" s="7">
        <f t="shared" si="1"/>
        <v>33.379160995267846</v>
      </c>
      <c r="K10" s="7">
        <f t="shared" si="1"/>
        <v>42.732313338970911</v>
      </c>
      <c r="L10" s="7">
        <f t="shared" si="1"/>
        <v>45.947675822613803</v>
      </c>
    </row>
    <row r="14" spans="1:17" x14ac:dyDescent="0.4">
      <c r="A14" s="1" t="s">
        <v>12</v>
      </c>
      <c r="E14" s="4" t="s">
        <v>13</v>
      </c>
      <c r="F14" s="4"/>
      <c r="G14" s="6"/>
      <c r="H14" s="4" t="s">
        <v>14</v>
      </c>
      <c r="I14" s="4"/>
      <c r="J14" s="6"/>
      <c r="K14" s="4" t="s">
        <v>15</v>
      </c>
      <c r="L14" s="4"/>
    </row>
    <row r="15" spans="1:17" x14ac:dyDescent="0.4">
      <c r="E15" s="2" t="s">
        <v>2</v>
      </c>
      <c r="F15" s="2" t="s">
        <v>3</v>
      </c>
      <c r="H15" s="2" t="s">
        <v>2</v>
      </c>
      <c r="I15" s="2" t="s">
        <v>3</v>
      </c>
      <c r="K15" s="2" t="s">
        <v>2</v>
      </c>
      <c r="L15" s="2" t="s">
        <v>3</v>
      </c>
    </row>
    <row r="16" spans="1:17" x14ac:dyDescent="0.4">
      <c r="E16" s="2">
        <v>1.1585380000000001</v>
      </c>
      <c r="F16" s="2">
        <v>0.44492999999999999</v>
      </c>
      <c r="H16" s="2">
        <v>1.076017</v>
      </c>
      <c r="I16" s="2">
        <v>0.44547100000000001</v>
      </c>
      <c r="K16" s="2">
        <v>1.048748</v>
      </c>
      <c r="L16" s="2">
        <v>0.37869399999999998</v>
      </c>
    </row>
    <row r="17" spans="1:12" x14ac:dyDescent="0.4">
      <c r="E17" s="2">
        <v>1.023263</v>
      </c>
      <c r="F17" s="2">
        <v>0.49628899999999998</v>
      </c>
      <c r="H17" s="2">
        <v>0.92767999999999995</v>
      </c>
      <c r="I17" s="2">
        <v>0.57116500000000003</v>
      </c>
      <c r="K17" s="2">
        <v>0.96029200000000003</v>
      </c>
      <c r="L17" s="2">
        <v>0.44919599999999998</v>
      </c>
    </row>
    <row r="18" spans="1:12" x14ac:dyDescent="0.4">
      <c r="E18" s="2">
        <v>0.81819900000000001</v>
      </c>
      <c r="F18" s="2">
        <v>0.47673700000000002</v>
      </c>
      <c r="H18" s="2">
        <v>0.99630300000000005</v>
      </c>
      <c r="I18" s="2">
        <v>0.53396500000000002</v>
      </c>
      <c r="K18" s="2">
        <v>0.99096200000000001</v>
      </c>
      <c r="L18" s="2">
        <v>0.35288599999999998</v>
      </c>
    </row>
    <row r="19" spans="1:12" x14ac:dyDescent="0.4">
      <c r="D19" s="7" t="s">
        <v>9</v>
      </c>
      <c r="E19" s="7">
        <f>AVERAGE(E16:E18)</f>
        <v>1</v>
      </c>
      <c r="F19" s="7">
        <f t="shared" ref="F19:L19" si="2">AVERAGE(F16:F18)</f>
        <v>0.47265200000000002</v>
      </c>
      <c r="G19" s="7"/>
      <c r="H19" s="7">
        <f t="shared" si="2"/>
        <v>1</v>
      </c>
      <c r="I19" s="7">
        <f t="shared" si="2"/>
        <v>0.51686700000000008</v>
      </c>
      <c r="J19" s="7"/>
      <c r="K19" s="7">
        <f t="shared" si="2"/>
        <v>1.0000006666666668</v>
      </c>
      <c r="L19" s="7">
        <f t="shared" si="2"/>
        <v>0.393592</v>
      </c>
    </row>
    <row r="20" spans="1:12" x14ac:dyDescent="0.4">
      <c r="D20" s="7" t="s">
        <v>11</v>
      </c>
      <c r="E20" s="7">
        <f>STDEV(E16:E18)</f>
        <v>0.17135791229762404</v>
      </c>
      <c r="F20" s="7">
        <f t="shared" ref="F20:L20" si="3">STDEV(F16:F18)</f>
        <v>2.5922039638114895E-2</v>
      </c>
      <c r="G20" s="7"/>
      <c r="H20" s="7">
        <f t="shared" si="3"/>
        <v>7.4237573027409798E-2</v>
      </c>
      <c r="I20" s="7">
        <f t="shared" si="3"/>
        <v>6.4567806312433723E-2</v>
      </c>
      <c r="J20" s="7"/>
      <c r="K20" s="7">
        <f t="shared" si="3"/>
        <v>4.491535489488347E-2</v>
      </c>
      <c r="L20" s="7">
        <f t="shared" si="3"/>
        <v>4.9853453521295145E-2</v>
      </c>
    </row>
    <row r="23" spans="1:12" x14ac:dyDescent="0.4">
      <c r="E23" s="4" t="s">
        <v>16</v>
      </c>
      <c r="F23" s="4"/>
      <c r="H23" s="4" t="s">
        <v>17</v>
      </c>
      <c r="I23" s="4"/>
    </row>
    <row r="24" spans="1:12" x14ac:dyDescent="0.4">
      <c r="E24" s="2" t="s">
        <v>2</v>
      </c>
      <c r="F24" s="2" t="s">
        <v>3</v>
      </c>
      <c r="H24" s="2" t="s">
        <v>2</v>
      </c>
      <c r="I24" s="2" t="s">
        <v>3</v>
      </c>
    </row>
    <row r="25" spans="1:12" x14ac:dyDescent="0.4">
      <c r="E25" s="2">
        <v>1.049701</v>
      </c>
      <c r="F25" s="2">
        <v>0.38591900000000001</v>
      </c>
      <c r="H25" s="2">
        <v>1.09565</v>
      </c>
      <c r="I25" s="2">
        <v>0.39272200000000002</v>
      </c>
    </row>
    <row r="26" spans="1:12" x14ac:dyDescent="0.4">
      <c r="E26" s="2">
        <v>0.983595</v>
      </c>
      <c r="F26" s="2">
        <v>0.33161800000000002</v>
      </c>
      <c r="H26" s="2">
        <v>0.97066399999999997</v>
      </c>
      <c r="I26" s="2">
        <v>0.31731100000000001</v>
      </c>
    </row>
    <row r="27" spans="1:12" x14ac:dyDescent="0.4">
      <c r="E27" s="2">
        <v>0.96670599999999995</v>
      </c>
      <c r="F27" s="2">
        <v>0.34578399999999998</v>
      </c>
      <c r="H27" s="2">
        <v>0.93368499999999999</v>
      </c>
      <c r="I27" s="2">
        <v>0.340725</v>
      </c>
    </row>
    <row r="28" spans="1:12" x14ac:dyDescent="0.4">
      <c r="D28" s="7" t="s">
        <v>9</v>
      </c>
      <c r="E28" s="7">
        <f>AVERAGE(E25:E27)</f>
        <v>1.0000006666666665</v>
      </c>
      <c r="F28" s="7">
        <f t="shared" ref="F28:I28" si="4">AVERAGE(F25:F27)</f>
        <v>0.35444033333333341</v>
      </c>
      <c r="G28" s="7"/>
      <c r="H28" s="7">
        <f t="shared" si="4"/>
        <v>0.99999966666666673</v>
      </c>
      <c r="I28" s="7">
        <f t="shared" si="4"/>
        <v>0.35025266666666671</v>
      </c>
    </row>
    <row r="29" spans="1:12" x14ac:dyDescent="0.4">
      <c r="D29" s="7" t="s">
        <v>11</v>
      </c>
      <c r="E29" s="7">
        <f>STDEV(E25:E27)</f>
        <v>4.3862306486701481E-2</v>
      </c>
      <c r="F29" s="7">
        <f t="shared" ref="F29:I29" si="5">STDEV(F25:F27)</f>
        <v>2.8166446888688915E-2</v>
      </c>
      <c r="G29" s="7"/>
      <c r="H29" s="7">
        <f t="shared" si="5"/>
        <v>8.4874032014116876E-2</v>
      </c>
      <c r="I29" s="7">
        <f t="shared" si="5"/>
        <v>3.8597759706145297E-2</v>
      </c>
    </row>
    <row r="32" spans="1:12" x14ac:dyDescent="0.4">
      <c r="A32" s="1" t="s">
        <v>18</v>
      </c>
      <c r="D32" s="4" t="s">
        <v>19</v>
      </c>
      <c r="E32" s="4"/>
      <c r="G32" s="4" t="s">
        <v>20</v>
      </c>
      <c r="H32" s="4"/>
      <c r="J32" s="4" t="s">
        <v>21</v>
      </c>
      <c r="K32" s="4"/>
    </row>
    <row r="33" spans="3:11" x14ac:dyDescent="0.4">
      <c r="D33" s="2" t="s">
        <v>2</v>
      </c>
      <c r="E33" s="2" t="s">
        <v>3</v>
      </c>
      <c r="G33" s="2" t="s">
        <v>2</v>
      </c>
      <c r="H33" s="2" t="s">
        <v>3</v>
      </c>
      <c r="J33" s="2" t="s">
        <v>2</v>
      </c>
      <c r="K33" s="2" t="s">
        <v>3</v>
      </c>
    </row>
    <row r="34" spans="3:11" x14ac:dyDescent="0.4">
      <c r="D34" s="2">
        <v>1.0651856285316952</v>
      </c>
      <c r="E34" s="2">
        <v>2.9575932543524566</v>
      </c>
      <c r="G34" s="2">
        <v>1.0719803871262008</v>
      </c>
      <c r="H34" s="2">
        <v>1.5894979902505773</v>
      </c>
      <c r="J34" s="2">
        <v>1.2934331735172118</v>
      </c>
      <c r="K34" s="2">
        <v>2.8808382265797556</v>
      </c>
    </row>
    <row r="35" spans="3:11" x14ac:dyDescent="0.4">
      <c r="D35" s="2">
        <v>0.83857623180241869</v>
      </c>
      <c r="E35" s="2">
        <v>2.7161969475592795</v>
      </c>
      <c r="G35" s="2">
        <v>0.94922888337751932</v>
      </c>
      <c r="H35" s="2">
        <v>1.6492488383363266</v>
      </c>
      <c r="J35" s="2">
        <v>0.58411894629100902</v>
      </c>
      <c r="K35" s="2">
        <v>2.9658460378171632</v>
      </c>
    </row>
    <row r="36" spans="3:11" x14ac:dyDescent="0.4">
      <c r="D36" s="2">
        <v>1.0962381396658862</v>
      </c>
      <c r="E36" s="2">
        <v>2.5293009664301933</v>
      </c>
      <c r="G36" s="2">
        <v>0.97879072949627988</v>
      </c>
      <c r="H36" s="2">
        <v>1.7810370877162973</v>
      </c>
      <c r="J36" s="2">
        <v>1.1224478801917794</v>
      </c>
      <c r="K36" s="2">
        <v>3.2287884501427575</v>
      </c>
    </row>
    <row r="37" spans="3:11" x14ac:dyDescent="0.4">
      <c r="C37" s="7" t="s">
        <v>9</v>
      </c>
      <c r="D37" s="7">
        <f>AVERAGE(D34:D36)</f>
        <v>1</v>
      </c>
      <c r="E37" s="7">
        <f>AVERAGE(E34:E36)</f>
        <v>2.734363722780643</v>
      </c>
      <c r="F37" s="7"/>
      <c r="G37" s="7">
        <f>AVERAGE(G34:G36)</f>
        <v>1</v>
      </c>
      <c r="H37" s="7">
        <f>AVERAGE(H34:H36)</f>
        <v>1.6732613054344003</v>
      </c>
      <c r="I37" s="7"/>
      <c r="J37" s="7">
        <f>AVERAGE(J34:J36)</f>
        <v>1</v>
      </c>
      <c r="K37" s="7">
        <f>AVERAGE(K34:K36)</f>
        <v>3.0251575715132248</v>
      </c>
    </row>
    <row r="38" spans="3:11" x14ac:dyDescent="0.4">
      <c r="C38" s="7" t="s">
        <v>11</v>
      </c>
      <c r="D38" s="7">
        <f>STDEV(D34:D36)</f>
        <v>0.14065663623258146</v>
      </c>
      <c r="E38" s="7">
        <f>STDEV(E34:E36)</f>
        <v>0.21472329814176982</v>
      </c>
      <c r="F38" s="7"/>
      <c r="G38" s="7">
        <f t="shared" ref="G38:K38" si="6">STDEV(G34:G36)</f>
        <v>6.4065261917950672E-2</v>
      </c>
      <c r="H38" s="7">
        <f t="shared" si="6"/>
        <v>9.8001303035203102E-2</v>
      </c>
      <c r="I38" s="7"/>
      <c r="J38" s="7">
        <f t="shared" si="6"/>
        <v>0.37017128570294561</v>
      </c>
      <c r="K38" s="7">
        <f t="shared" si="6"/>
        <v>0.18139937442400428</v>
      </c>
    </row>
  </sheetData>
  <mergeCells count="10">
    <mergeCell ref="D32:E32"/>
    <mergeCell ref="G32:H32"/>
    <mergeCell ref="J32:K32"/>
    <mergeCell ref="E2:H2"/>
    <mergeCell ref="I2:L2"/>
    <mergeCell ref="E14:F14"/>
    <mergeCell ref="H14:I14"/>
    <mergeCell ref="K14:L14"/>
    <mergeCell ref="E23:F23"/>
    <mergeCell ref="H23:I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2026-02-10T09:29:24Z</dcterms:created>
  <dcterms:modified xsi:type="dcterms:W3CDTF">2026-02-10T09:29:51Z</dcterms:modified>
</cp:coreProperties>
</file>