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5\"/>
    </mc:Choice>
  </mc:AlternateContent>
  <xr:revisionPtr revIDLastSave="0" documentId="13_ncr:1_{B0D051EB-A655-46E0-9615-DCBA4B250956}" xr6:coauthVersionLast="47" xr6:coauthVersionMax="47" xr10:uidLastSave="{00000000-0000-0000-0000-000000000000}"/>
  <bookViews>
    <workbookView xWindow="-98" yWindow="-98" windowWidth="23236" windowHeight="13875" xr2:uid="{A000AEAA-7F08-444B-ADF1-712F432605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7" i="1" l="1"/>
  <c r="R17" i="1"/>
  <c r="L17" i="1"/>
  <c r="K17" i="1"/>
  <c r="E17" i="1"/>
  <c r="D17" i="1"/>
  <c r="S16" i="1"/>
  <c r="U21" i="1" s="1"/>
  <c r="R16" i="1"/>
  <c r="T21" i="1" s="1"/>
  <c r="L16" i="1"/>
  <c r="N21" i="1" s="1"/>
  <c r="K16" i="1"/>
  <c r="M18" i="1" s="1"/>
  <c r="E16" i="1"/>
  <c r="G19" i="1" s="1"/>
  <c r="D16" i="1"/>
  <c r="F19" i="1" s="1"/>
  <c r="U8" i="1"/>
  <c r="T8" i="1"/>
  <c r="S4" i="1"/>
  <c r="R4" i="1"/>
  <c r="L4" i="1"/>
  <c r="K4" i="1"/>
  <c r="E4" i="1"/>
  <c r="G6" i="1" s="1"/>
  <c r="D4" i="1"/>
  <c r="F6" i="1" s="1"/>
  <c r="S3" i="1"/>
  <c r="U10" i="1" s="1"/>
  <c r="R3" i="1"/>
  <c r="T10" i="1" s="1"/>
  <c r="L3" i="1"/>
  <c r="N5" i="1" s="1"/>
  <c r="K3" i="1"/>
  <c r="M5" i="1" s="1"/>
  <c r="E3" i="1"/>
  <c r="D3" i="1"/>
  <c r="M4" i="1" l="1"/>
  <c r="M17" i="1"/>
  <c r="N17" i="1"/>
  <c r="U5" i="1"/>
  <c r="T6" i="1"/>
  <c r="T17" i="1"/>
  <c r="N9" i="1"/>
  <c r="U4" i="1"/>
  <c r="T5" i="1"/>
  <c r="U6" i="1"/>
  <c r="U17" i="1"/>
  <c r="F8" i="1"/>
  <c r="M8" i="1"/>
  <c r="T19" i="1"/>
  <c r="T4" i="1"/>
  <c r="G8" i="1"/>
  <c r="N8" i="1"/>
  <c r="U19" i="1"/>
  <c r="M19" i="1"/>
  <c r="F9" i="1"/>
  <c r="F20" i="1"/>
  <c r="F3" i="1"/>
  <c r="M9" i="1"/>
  <c r="M20" i="1"/>
  <c r="G3" i="1"/>
  <c r="N4" i="1"/>
  <c r="F7" i="1"/>
  <c r="T9" i="1"/>
  <c r="F18" i="1"/>
  <c r="U20" i="1"/>
  <c r="M3" i="1"/>
  <c r="M7" i="1"/>
  <c r="T16" i="1"/>
  <c r="F21" i="1"/>
  <c r="N3" i="1"/>
  <c r="N7" i="1"/>
  <c r="N18" i="1"/>
  <c r="T7" i="1"/>
  <c r="M10" i="1"/>
  <c r="M21" i="1"/>
  <c r="G5" i="1"/>
  <c r="U7" i="1"/>
  <c r="N10" i="1"/>
  <c r="N19" i="1"/>
  <c r="F4" i="1"/>
  <c r="F16" i="1"/>
  <c r="G4" i="1"/>
  <c r="G16" i="1"/>
  <c r="M6" i="1"/>
  <c r="N6" i="1"/>
  <c r="G9" i="1"/>
  <c r="G20" i="1"/>
  <c r="M16" i="1"/>
  <c r="N16" i="1"/>
  <c r="N20" i="1"/>
  <c r="T20" i="1"/>
  <c r="G7" i="1"/>
  <c r="U9" i="1"/>
  <c r="G18" i="1"/>
  <c r="F10" i="1"/>
  <c r="G10" i="1"/>
  <c r="U16" i="1"/>
  <c r="G21" i="1"/>
  <c r="F5" i="1"/>
  <c r="T18" i="1"/>
  <c r="U18" i="1"/>
  <c r="T3" i="1"/>
  <c r="F17" i="1"/>
  <c r="U3" i="1"/>
  <c r="G17" i="1"/>
</calcChain>
</file>

<file path=xl/sharedStrings.xml><?xml version="1.0" encoding="utf-8"?>
<sst xmlns="http://schemas.openxmlformats.org/spreadsheetml/2006/main" count="33" uniqueCount="10">
  <si>
    <t>P-PA</t>
  </si>
  <si>
    <t>T-PA</t>
  </si>
  <si>
    <t>T-DGKA</t>
  </si>
  <si>
    <t>P-PA Z-score</t>
    <phoneticPr fontId="2" type="noConversion"/>
  </si>
  <si>
    <t>T-PA Z-score</t>
    <phoneticPr fontId="2" type="noConversion"/>
  </si>
  <si>
    <t>FigureS15A</t>
    <phoneticPr fontId="2" type="noConversion"/>
  </si>
  <si>
    <t>FigureS15B</t>
    <phoneticPr fontId="2" type="noConversion"/>
  </si>
  <si>
    <t>FigureS15C</t>
    <phoneticPr fontId="2" type="noConversion"/>
  </si>
  <si>
    <t>ESCC</t>
    <phoneticPr fontId="2" type="noConversion"/>
  </si>
  <si>
    <t>GC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</si>
</sst>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1883-994D-4CCF-9943-24D63D3B09B7}">
  <dimension ref="A1:U21"/>
  <sheetViews>
    <sheetView tabSelected="1" workbookViewId="0">
      <selection activeCell="G25" sqref="G25"/>
    </sheetView>
  </sheetViews>
  <sheetFormatPr defaultRowHeight="13.9" x14ac:dyDescent="0.4"/>
  <cols>
    <col min="1" max="1" width="10.73046875" customWidth="1"/>
    <col min="2" max="7" width="9.06640625" style="3"/>
    <col min="8" max="8" width="10.33203125" style="3" customWidth="1"/>
    <col min="9" max="14" width="9.06640625" style="3"/>
    <col min="15" max="15" width="11.59765625" style="3" customWidth="1"/>
    <col min="16" max="21" width="9.06640625" style="3"/>
  </cols>
  <sheetData>
    <row r="1" spans="1:21" x14ac:dyDescent="0.4">
      <c r="B1" s="5" t="s">
        <v>8</v>
      </c>
      <c r="C1" s="5"/>
      <c r="D1" s="5"/>
      <c r="E1" s="5"/>
      <c r="F1" s="5"/>
      <c r="G1" s="5"/>
      <c r="I1" s="5" t="s">
        <v>8</v>
      </c>
      <c r="J1" s="5"/>
      <c r="K1" s="5"/>
      <c r="L1" s="5"/>
      <c r="M1" s="5"/>
      <c r="N1" s="5"/>
      <c r="P1" s="5" t="s">
        <v>8</v>
      </c>
      <c r="Q1" s="5"/>
      <c r="R1" s="5"/>
      <c r="S1" s="5"/>
      <c r="T1" s="5"/>
      <c r="U1" s="5"/>
    </row>
    <row r="2" spans="1:21" x14ac:dyDescent="0.4">
      <c r="A2" s="4" t="s">
        <v>5</v>
      </c>
      <c r="B2" s="1" t="s">
        <v>0</v>
      </c>
      <c r="C2" s="1" t="s">
        <v>1</v>
      </c>
      <c r="F2" s="1" t="s">
        <v>3</v>
      </c>
      <c r="G2" s="1" t="s">
        <v>4</v>
      </c>
      <c r="H2" s="4" t="s">
        <v>6</v>
      </c>
      <c r="I2" s="1" t="s">
        <v>0</v>
      </c>
      <c r="J2" s="1" t="s">
        <v>2</v>
      </c>
      <c r="M2" s="1" t="s">
        <v>3</v>
      </c>
      <c r="N2" s="1" t="s">
        <v>4</v>
      </c>
      <c r="O2" s="4" t="s">
        <v>7</v>
      </c>
      <c r="P2" s="1" t="s">
        <v>1</v>
      </c>
      <c r="Q2" s="1" t="s">
        <v>2</v>
      </c>
      <c r="T2" s="1" t="s">
        <v>3</v>
      </c>
      <c r="U2" s="1" t="s">
        <v>4</v>
      </c>
    </row>
    <row r="3" spans="1:21" x14ac:dyDescent="0.4">
      <c r="B3" s="2">
        <v>530.88239999999996</v>
      </c>
      <c r="C3" s="2">
        <v>774.54489999999998</v>
      </c>
      <c r="D3" s="3">
        <f>AVERAGE(B3:B10)</f>
        <v>864.38708750000001</v>
      </c>
      <c r="E3" s="3">
        <f>AVERAGE(C3:C10)</f>
        <v>692.75788749999992</v>
      </c>
      <c r="F3" s="3">
        <f>(B3-$D$3)/$D$4</f>
        <v>-0.89160355444722739</v>
      </c>
      <c r="G3" s="3">
        <f>(C3-$E$3)/$E$4</f>
        <v>0.45373780609771303</v>
      </c>
      <c r="I3" s="2">
        <v>530.88239999999996</v>
      </c>
      <c r="J3" s="2">
        <v>2.1021000000000001</v>
      </c>
      <c r="K3" s="3">
        <f>AVERAGE(I3:I10)</f>
        <v>864.38708750000001</v>
      </c>
      <c r="L3" s="3">
        <f>AVERAGE(J3:J10)</f>
        <v>3.0003787499999999</v>
      </c>
      <c r="M3" s="3">
        <f>(I3-$K$3)/$K$4</f>
        <v>-0.89160355444722739</v>
      </c>
      <c r="N3" s="3">
        <f>(J3-$L$3)/$L$4</f>
        <v>-0.58658513657876099</v>
      </c>
      <c r="P3" s="2">
        <v>774.54489999999998</v>
      </c>
      <c r="Q3" s="2">
        <v>2.1021000000000001</v>
      </c>
      <c r="R3" s="3">
        <f>AVERAGE(P3:P10)</f>
        <v>692.75788749999992</v>
      </c>
      <c r="S3" s="3">
        <f>AVERAGE(Q3:Q10)</f>
        <v>3.0003787499999999</v>
      </c>
      <c r="T3" s="3">
        <f>(P3-$R$3)/$R$4</f>
        <v>0.45373780609771303</v>
      </c>
      <c r="U3" s="3">
        <f>(Q3-$S$3)/$S$4</f>
        <v>-0.58658513657876099</v>
      </c>
    </row>
    <row r="4" spans="1:21" x14ac:dyDescent="0.4">
      <c r="B4" s="2">
        <v>784.77189999999996</v>
      </c>
      <c r="C4" s="2">
        <v>665.48019999999997</v>
      </c>
      <c r="D4" s="3">
        <f>STDEV(B3:B10)</f>
        <v>374.05042390927309</v>
      </c>
      <c r="E4" s="3">
        <f>STDEV(C3:C10)</f>
        <v>180.25170351880953</v>
      </c>
      <c r="F4" s="3">
        <f t="shared" ref="F4:F10" si="0">(B4-$D$3)/$D$4</f>
        <v>-0.21284613627202015</v>
      </c>
      <c r="G4" s="3">
        <f t="shared" ref="G4:G10" si="1">(C4-$E$3)/$E$4</f>
        <v>-0.15133109406177395</v>
      </c>
      <c r="I4" s="2">
        <v>784.77189999999996</v>
      </c>
      <c r="J4" s="2">
        <v>3.76356</v>
      </c>
      <c r="K4" s="3">
        <f>STDEV(I3:I10)</f>
        <v>374.05042390927309</v>
      </c>
      <c r="L4" s="3">
        <f>STDEV(J3:J10)</f>
        <v>1.5313697773509602</v>
      </c>
      <c r="M4" s="3">
        <f t="shared" ref="M4:M10" si="2">(I4-$K$3)/$K$4</f>
        <v>-0.21284613627202015</v>
      </c>
      <c r="N4" s="3">
        <f t="shared" ref="N4:N10" si="3">(J4-$L$3)/$L$4</f>
        <v>0.49836509854608019</v>
      </c>
      <c r="P4" s="2">
        <v>665.48019999999997</v>
      </c>
      <c r="Q4" s="2">
        <v>3.76356</v>
      </c>
      <c r="R4" s="3">
        <f>STDEV(P3:P10)</f>
        <v>180.25170351880953</v>
      </c>
      <c r="S4" s="3">
        <f>STDEV(Q3:Q10)</f>
        <v>1.5313697773509602</v>
      </c>
      <c r="T4" s="3">
        <f t="shared" ref="T4:T10" si="4">(P4-$R$3)/$R$4</f>
        <v>-0.15133109406177395</v>
      </c>
      <c r="U4" s="3">
        <f t="shared" ref="U4:U10" si="5">(Q4-$S$3)/$S$4</f>
        <v>0.49836509854608019</v>
      </c>
    </row>
    <row r="5" spans="1:21" x14ac:dyDescent="0.4">
      <c r="B5" s="2">
        <v>1002.588</v>
      </c>
      <c r="C5" s="2">
        <v>617.43409999999994</v>
      </c>
      <c r="F5" s="3">
        <f t="shared" si="0"/>
        <v>0.36947134307625046</v>
      </c>
      <c r="G5" s="3">
        <f t="shared" si="1"/>
        <v>-0.4178811408134061</v>
      </c>
      <c r="I5" s="2">
        <v>1002.588</v>
      </c>
      <c r="J5" s="2">
        <v>1.51831</v>
      </c>
      <c r="M5" s="3">
        <f t="shared" si="2"/>
        <v>0.36947134307625046</v>
      </c>
      <c r="N5" s="3">
        <f t="shared" si="3"/>
        <v>-0.96780592899237972</v>
      </c>
      <c r="P5" s="2">
        <v>617.43409999999994</v>
      </c>
      <c r="Q5" s="2">
        <v>1.51831</v>
      </c>
      <c r="T5" s="3">
        <f t="shared" si="4"/>
        <v>-0.4178811408134061</v>
      </c>
      <c r="U5" s="3">
        <f t="shared" si="5"/>
        <v>-0.96780592899237972</v>
      </c>
    </row>
    <row r="6" spans="1:21" x14ac:dyDescent="0.4">
      <c r="B6" s="2">
        <v>968.5684</v>
      </c>
      <c r="C6" s="2">
        <v>645.30089999999996</v>
      </c>
      <c r="F6" s="3">
        <f t="shared" si="0"/>
        <v>0.2785221078248783</v>
      </c>
      <c r="G6" s="3">
        <f t="shared" si="1"/>
        <v>-0.26328176973399731</v>
      </c>
      <c r="I6" s="2">
        <v>968.5684</v>
      </c>
      <c r="J6" s="2">
        <v>2.36374</v>
      </c>
      <c r="M6" s="3">
        <f t="shared" si="2"/>
        <v>0.2785221078248783</v>
      </c>
      <c r="N6" s="3">
        <f t="shared" si="3"/>
        <v>-0.41573156230188202</v>
      </c>
      <c r="P6" s="2">
        <v>645.30089999999996</v>
      </c>
      <c r="Q6" s="2">
        <v>2.36374</v>
      </c>
      <c r="T6" s="3">
        <f t="shared" si="4"/>
        <v>-0.26328176973399731</v>
      </c>
      <c r="U6" s="3">
        <f t="shared" si="5"/>
        <v>-0.41573156230188202</v>
      </c>
    </row>
    <row r="7" spans="1:21" x14ac:dyDescent="0.4">
      <c r="B7" s="2">
        <v>964.6</v>
      </c>
      <c r="C7" s="2">
        <v>737.11469999999997</v>
      </c>
      <c r="F7" s="3">
        <f t="shared" si="0"/>
        <v>0.26791284301366525</v>
      </c>
      <c r="G7" s="3">
        <f t="shared" si="1"/>
        <v>0.24608262576209908</v>
      </c>
      <c r="I7" s="2">
        <v>964.6</v>
      </c>
      <c r="J7" s="2">
        <v>5.5096699999999998</v>
      </c>
      <c r="M7" s="3">
        <f t="shared" si="2"/>
        <v>0.26791284301366525</v>
      </c>
      <c r="N7" s="3">
        <f t="shared" si="3"/>
        <v>1.6385926424254611</v>
      </c>
      <c r="P7" s="2">
        <v>737.11469999999997</v>
      </c>
      <c r="Q7" s="2">
        <v>5.5096699999999998</v>
      </c>
      <c r="T7" s="3">
        <f t="shared" si="4"/>
        <v>0.24608262576209908</v>
      </c>
      <c r="U7" s="3">
        <f t="shared" si="5"/>
        <v>1.6385926424254611</v>
      </c>
    </row>
    <row r="8" spans="1:21" x14ac:dyDescent="0.4">
      <c r="B8" s="2">
        <v>1616.116</v>
      </c>
      <c r="C8" s="2">
        <v>1060.557</v>
      </c>
      <c r="F8" s="3">
        <f t="shared" si="0"/>
        <v>2.0096993999994339</v>
      </c>
      <c r="G8" s="3">
        <f t="shared" si="1"/>
        <v>2.0404750985425206</v>
      </c>
      <c r="I8" s="2">
        <v>1616.116</v>
      </c>
      <c r="J8" s="2">
        <v>4.9170499999999997</v>
      </c>
      <c r="M8" s="3">
        <f t="shared" si="2"/>
        <v>2.0096993999994339</v>
      </c>
      <c r="N8" s="3">
        <f t="shared" si="3"/>
        <v>1.2516057704335481</v>
      </c>
      <c r="P8" s="2">
        <v>1060.557</v>
      </c>
      <c r="Q8" s="2">
        <v>4.9170499999999997</v>
      </c>
      <c r="T8" s="3">
        <f t="shared" si="4"/>
        <v>2.0404750985425206</v>
      </c>
      <c r="U8" s="3">
        <f t="shared" si="5"/>
        <v>1.2516057704335481</v>
      </c>
    </row>
    <row r="9" spans="1:21" x14ac:dyDescent="0.4">
      <c r="B9" s="2">
        <v>634.96119999999996</v>
      </c>
      <c r="C9" s="2">
        <v>432.20490000000001</v>
      </c>
      <c r="F9" s="3">
        <f t="shared" si="0"/>
        <v>-0.61335550726617516</v>
      </c>
      <c r="G9" s="3">
        <f t="shared" si="1"/>
        <v>-1.4454952847245119</v>
      </c>
      <c r="I9" s="2">
        <v>634.96119999999996</v>
      </c>
      <c r="J9" s="2">
        <v>1.69617</v>
      </c>
      <c r="M9" s="3">
        <f t="shared" si="2"/>
        <v>-0.61335550726617516</v>
      </c>
      <c r="N9" s="3">
        <f t="shared" si="3"/>
        <v>-0.85166154464409316</v>
      </c>
      <c r="P9" s="2">
        <v>432.20490000000001</v>
      </c>
      <c r="Q9" s="2">
        <v>1.69617</v>
      </c>
      <c r="T9" s="3">
        <f t="shared" si="4"/>
        <v>-1.4454952847245119</v>
      </c>
      <c r="U9" s="3">
        <f t="shared" si="5"/>
        <v>-0.85166154464409316</v>
      </c>
    </row>
    <row r="10" spans="1:21" x14ac:dyDescent="0.4">
      <c r="B10" s="2">
        <v>412.60879999999997</v>
      </c>
      <c r="C10" s="2">
        <v>609.42639999999994</v>
      </c>
      <c r="F10" s="3">
        <f t="shared" si="0"/>
        <v>-1.2078004959288058</v>
      </c>
      <c r="G10" s="3">
        <f t="shared" si="1"/>
        <v>-0.4623062410686411</v>
      </c>
      <c r="I10" s="2">
        <v>412.60879999999997</v>
      </c>
      <c r="J10" s="2">
        <v>2.1324299999999998</v>
      </c>
      <c r="M10" s="3">
        <f t="shared" si="2"/>
        <v>-1.2078004959288058</v>
      </c>
      <c r="N10" s="3">
        <f t="shared" si="3"/>
        <v>-0.56677933888797327</v>
      </c>
      <c r="P10" s="2">
        <v>609.42639999999994</v>
      </c>
      <c r="Q10" s="2">
        <v>2.1324299999999998</v>
      </c>
      <c r="T10" s="3">
        <f t="shared" si="4"/>
        <v>-0.4623062410686411</v>
      </c>
      <c r="U10" s="3">
        <f t="shared" si="5"/>
        <v>-0.56677933888797327</v>
      </c>
    </row>
    <row r="14" spans="1:21" x14ac:dyDescent="0.4">
      <c r="B14" s="5" t="s">
        <v>9</v>
      </c>
      <c r="C14" s="5"/>
      <c r="D14" s="5"/>
      <c r="E14" s="5"/>
      <c r="F14" s="5"/>
      <c r="G14" s="5"/>
      <c r="I14" s="5" t="s">
        <v>9</v>
      </c>
      <c r="J14" s="5"/>
      <c r="K14" s="5"/>
      <c r="L14" s="5"/>
      <c r="M14" s="5"/>
      <c r="N14" s="5"/>
      <c r="P14" s="5" t="s">
        <v>9</v>
      </c>
      <c r="Q14" s="5"/>
      <c r="R14" s="5"/>
      <c r="S14" s="5"/>
      <c r="T14" s="5"/>
      <c r="U14" s="5"/>
    </row>
    <row r="15" spans="1:21" x14ac:dyDescent="0.4">
      <c r="B15" s="1" t="s">
        <v>0</v>
      </c>
      <c r="C15" s="1" t="s">
        <v>1</v>
      </c>
      <c r="F15" s="1" t="s">
        <v>3</v>
      </c>
      <c r="G15" s="1" t="s">
        <v>4</v>
      </c>
      <c r="I15" s="1" t="s">
        <v>0</v>
      </c>
      <c r="J15" s="1" t="s">
        <v>2</v>
      </c>
      <c r="M15" s="1" t="s">
        <v>3</v>
      </c>
      <c r="N15" s="1" t="s">
        <v>4</v>
      </c>
      <c r="P15" s="1" t="s">
        <v>1</v>
      </c>
      <c r="Q15" s="1" t="s">
        <v>2</v>
      </c>
      <c r="T15" s="1" t="s">
        <v>3</v>
      </c>
      <c r="U15" s="1" t="s">
        <v>4</v>
      </c>
    </row>
    <row r="16" spans="1:21" x14ac:dyDescent="0.4">
      <c r="B16" s="2">
        <v>898.81359999999995</v>
      </c>
      <c r="C16" s="2">
        <v>910.24090000000001</v>
      </c>
      <c r="D16" s="3">
        <f>AVERAGE(B16:B21)</f>
        <v>736.60994999999991</v>
      </c>
      <c r="E16" s="3">
        <f>AVERAGE(C16:C21)</f>
        <v>759.60140000000001</v>
      </c>
      <c r="F16" s="3">
        <f>(B16-$D$16)/$D$17</f>
        <v>1.6456676778968444</v>
      </c>
      <c r="G16" s="3">
        <f>(C16-$E$16)/$E$17</f>
        <v>1.3601637613531468</v>
      </c>
      <c r="I16" s="2">
        <v>898.81359999999995</v>
      </c>
      <c r="J16" s="2">
        <v>3.117327</v>
      </c>
      <c r="K16" s="3">
        <f>AVERAGE(I16:I21)</f>
        <v>736.60994999999991</v>
      </c>
      <c r="L16" s="3">
        <f>AVERAGE(J16:J21)</f>
        <v>2.9506215</v>
      </c>
      <c r="M16" s="3">
        <f>(I16-$K$16)/$K$17</f>
        <v>1.6456676778968444</v>
      </c>
      <c r="N16" s="3">
        <f>(J16-$L$16)/$L$17</f>
        <v>0.1065306371620016</v>
      </c>
      <c r="P16" s="2">
        <v>910.24090000000001</v>
      </c>
      <c r="Q16" s="2">
        <v>3.117327</v>
      </c>
      <c r="R16" s="3">
        <f>AVERAGE(P16:P21)</f>
        <v>759.60140000000001</v>
      </c>
      <c r="S16" s="3">
        <f>AVERAGE(Q16:Q21)</f>
        <v>2.9506215</v>
      </c>
      <c r="T16" s="3">
        <f>(P16-$R$16)/$R$17</f>
        <v>1.3601637613531468</v>
      </c>
      <c r="U16" s="3">
        <f>(Q16-$S$16)/$S$17</f>
        <v>0.1065306371620016</v>
      </c>
    </row>
    <row r="17" spans="2:21" x14ac:dyDescent="0.4">
      <c r="B17" s="2">
        <v>776.60329999999999</v>
      </c>
      <c r="C17" s="2">
        <v>845.2414</v>
      </c>
      <c r="D17" s="3">
        <f>STDEV(B16:B21)</f>
        <v>98.564037064454922</v>
      </c>
      <c r="E17" s="3">
        <f>STDEV(C16:C21)</f>
        <v>110.7510024014591</v>
      </c>
      <c r="F17" s="3">
        <f t="shared" ref="F17:F21" si="6">(B17-$D$16)/$D$17</f>
        <v>0.4057600641281246</v>
      </c>
      <c r="G17" s="3">
        <f t="shared" ref="G17:G21" si="7">(C17-$E$16)/$E$17</f>
        <v>0.77326613884328788</v>
      </c>
      <c r="I17" s="2">
        <v>776.60329999999999</v>
      </c>
      <c r="J17" s="2">
        <v>4.4498730000000002</v>
      </c>
      <c r="K17" s="3">
        <f>STDEV(I16:I21)</f>
        <v>98.564037064454922</v>
      </c>
      <c r="L17" s="3">
        <f>STDEV(J16:J21)</f>
        <v>1.5648596914565542</v>
      </c>
      <c r="M17" s="3">
        <f t="shared" ref="M17:M21" si="8">(I17-$K$16)/$K$17</f>
        <v>0.4057600641281246</v>
      </c>
      <c r="N17" s="3">
        <f t="shared" ref="N17:N21" si="9">(J17-$L$16)/$L$17</f>
        <v>0.9580740741072532</v>
      </c>
      <c r="P17" s="2">
        <v>845.2414</v>
      </c>
      <c r="Q17" s="2">
        <v>4.4498730000000002</v>
      </c>
      <c r="R17" s="3">
        <f>STDEV(P16:P21)</f>
        <v>110.7510024014591</v>
      </c>
      <c r="S17" s="3">
        <f>STDEV(Q16:Q21)</f>
        <v>1.5648596914565542</v>
      </c>
      <c r="T17" s="3">
        <f t="shared" ref="T17:T21" si="10">(P17-$R$16)/$R$17</f>
        <v>0.77326613884328788</v>
      </c>
      <c r="U17" s="3">
        <f t="shared" ref="U17:U21" si="11">(Q17-$S$16)/$S$17</f>
        <v>0.9580740741072532</v>
      </c>
    </row>
    <row r="18" spans="2:21" x14ac:dyDescent="0.4">
      <c r="B18" s="2">
        <v>707.38059999999996</v>
      </c>
      <c r="C18" s="2">
        <v>793.96929999999998</v>
      </c>
      <c r="F18" s="3">
        <f t="shared" si="6"/>
        <v>-0.29655187500980429</v>
      </c>
      <c r="G18" s="3">
        <f t="shared" si="7"/>
        <v>0.3103168301395634</v>
      </c>
      <c r="I18" s="2">
        <v>707.38059999999996</v>
      </c>
      <c r="J18" s="2">
        <v>4.2931520000000001</v>
      </c>
      <c r="M18" s="3">
        <f t="shared" si="8"/>
        <v>-0.29655187500980429</v>
      </c>
      <c r="N18" s="3">
        <f t="shared" si="9"/>
        <v>0.85792388118220841</v>
      </c>
      <c r="P18" s="2">
        <v>793.96929999999998</v>
      </c>
      <c r="Q18" s="2">
        <v>4.2931520000000001</v>
      </c>
      <c r="T18" s="3">
        <f t="shared" si="10"/>
        <v>0.3103168301395634</v>
      </c>
      <c r="U18" s="3">
        <f t="shared" si="11"/>
        <v>0.85792388118220841</v>
      </c>
    </row>
    <row r="19" spans="2:21" x14ac:dyDescent="0.4">
      <c r="B19" s="2">
        <v>648.00969999999995</v>
      </c>
      <c r="C19" s="2">
        <v>619.92999999999995</v>
      </c>
      <c r="F19" s="3">
        <f t="shared" si="6"/>
        <v>-0.89891052191846355</v>
      </c>
      <c r="G19" s="3">
        <f t="shared" si="7"/>
        <v>-1.2611298947318597</v>
      </c>
      <c r="I19" s="2">
        <v>648.00969999999995</v>
      </c>
      <c r="J19" s="2">
        <v>1.9324129999999999</v>
      </c>
      <c r="M19" s="3">
        <f t="shared" si="8"/>
        <v>-0.89891052191846355</v>
      </c>
      <c r="N19" s="3">
        <f t="shared" si="9"/>
        <v>-0.65067079531728678</v>
      </c>
      <c r="P19" s="2">
        <v>619.92999999999995</v>
      </c>
      <c r="Q19" s="2">
        <v>1.9324129999999999</v>
      </c>
      <c r="T19" s="3">
        <f t="shared" si="10"/>
        <v>-1.2611298947318597</v>
      </c>
      <c r="U19" s="3">
        <f t="shared" si="11"/>
        <v>-0.65067079531728678</v>
      </c>
    </row>
    <row r="20" spans="2:21" x14ac:dyDescent="0.4">
      <c r="B20" s="2">
        <v>629.61279999999999</v>
      </c>
      <c r="C20" s="2">
        <v>662.20849999999996</v>
      </c>
      <c r="F20" s="3">
        <f t="shared" si="6"/>
        <v>-1.0855597354441788</v>
      </c>
      <c r="G20" s="3">
        <f t="shared" si="7"/>
        <v>-0.87938617157578824</v>
      </c>
      <c r="I20" s="2">
        <v>629.61279999999999</v>
      </c>
      <c r="J20" s="2">
        <v>0.35101300000000002</v>
      </c>
      <c r="M20" s="3">
        <f t="shared" si="8"/>
        <v>-1.0855597354441788</v>
      </c>
      <c r="N20" s="3">
        <f t="shared" si="9"/>
        <v>-1.6612406301936968</v>
      </c>
      <c r="P20" s="2">
        <v>662.20849999999996</v>
      </c>
      <c r="Q20" s="2">
        <v>0.35101300000000002</v>
      </c>
      <c r="T20" s="3">
        <f t="shared" si="10"/>
        <v>-0.87938617157578824</v>
      </c>
      <c r="U20" s="3">
        <f t="shared" si="11"/>
        <v>-1.6612406301936968</v>
      </c>
    </row>
    <row r="21" spans="2:21" x14ac:dyDescent="0.4">
      <c r="B21" s="2">
        <v>759.23969999999997</v>
      </c>
      <c r="C21" s="2">
        <v>726.01829999999995</v>
      </c>
      <c r="F21" s="3">
        <f t="shared" si="6"/>
        <v>0.22959439034748111</v>
      </c>
      <c r="G21" s="3">
        <f t="shared" si="7"/>
        <v>-0.30323066402835208</v>
      </c>
      <c r="I21" s="2">
        <v>759.23969999999997</v>
      </c>
      <c r="J21" s="2">
        <v>3.5599509999999999</v>
      </c>
      <c r="M21" s="3">
        <f t="shared" si="8"/>
        <v>0.22959439034748111</v>
      </c>
      <c r="N21" s="3">
        <f t="shared" si="9"/>
        <v>0.38938283305952026</v>
      </c>
      <c r="P21" s="2">
        <v>726.01829999999995</v>
      </c>
      <c r="Q21" s="2">
        <v>3.5599509999999999</v>
      </c>
      <c r="T21" s="3">
        <f t="shared" si="10"/>
        <v>-0.30323066402835208</v>
      </c>
      <c r="U21" s="3">
        <f t="shared" si="11"/>
        <v>0.38938283305952026</v>
      </c>
    </row>
  </sheetData>
  <mergeCells count="6">
    <mergeCell ref="B1:G1"/>
    <mergeCell ref="B14:G14"/>
    <mergeCell ref="I1:N1"/>
    <mergeCell ref="I14:N14"/>
    <mergeCell ref="P1:U1"/>
    <mergeCell ref="P14:U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2026-02-10T11:21:54Z</dcterms:created>
  <dcterms:modified xsi:type="dcterms:W3CDTF">2026-02-10T11:27:31Z</dcterms:modified>
</cp:coreProperties>
</file>